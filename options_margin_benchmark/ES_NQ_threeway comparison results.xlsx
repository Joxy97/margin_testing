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bnamroclearing.sharepoint.com/sites/CRO-QuantitativeRisk/Shared Documents/General/coh_submodel_shared/Anchor_2026/benchmark cme/"/>
    </mc:Choice>
  </mc:AlternateContent>
  <xr:revisionPtr revIDLastSave="2262" documentId="8_{614880F0-9A23-4EE1-9871-9E5BD980C6BB}" xr6:coauthVersionLast="47" xr6:coauthVersionMax="47" xr10:uidLastSave="{15C17D4D-DAEF-4912-AB0C-59E7D1F18D43}"/>
  <bookViews>
    <workbookView xWindow="19200" yWindow="540" windowWidth="57600" windowHeight="15345" firstSheet="1" activeTab="5" xr2:uid="{D4EEBB3E-F995-4784-8FC7-7DF705F72B4F}"/>
  </bookViews>
  <sheets>
    <sheet name="ES linear" sheetId="1" r:id="rId1"/>
    <sheet name="ES mixed" sheetId="3" r:id="rId2"/>
    <sheet name="ES nonlinear" sheetId="5" r:id="rId3"/>
    <sheet name="NQ linear" sheetId="2" r:id="rId4"/>
    <sheet name="NQ mixed" sheetId="4" r:id="rId5"/>
    <sheet name="NQ nonlinear" sheetId="6" r:id="rId6"/>
  </sheets>
  <definedNames>
    <definedName name="_xlnm._FilterDatabase" localSheetId="1" hidden="1">'ES mixed'!$A$1:$G$21</definedName>
    <definedName name="_xlnm._FilterDatabase" localSheetId="2" hidden="1">'ES nonlinear'!$A$1:$H$67</definedName>
    <definedName name="_xlnm._FilterDatabase" localSheetId="4" hidden="1">'NQ mixed'!$A$1:$G$10</definedName>
    <definedName name="_xlnm._FilterDatabase" localSheetId="5" hidden="1">'NQ nonlinear'!$A$1:$H$63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Anabitarte Lopez, Olga</author>
  </authors>
  <commentList>
    <comment ref="B22" authorId="0" shapeId="0" xr:uid="{65CBD712-8056-4AFF-B0C7-366469A29474}">
      <text>
        <r>
          <rPr>
            <b/>
            <sz val="9"/>
            <color indexed="81"/>
            <rFont val="Tahoma"/>
            <charset val="1"/>
          </rPr>
          <t>Anabitarte Lopez, Olga:</t>
        </r>
        <r>
          <rPr>
            <sz val="9"/>
            <color indexed="81"/>
            <rFont val="Tahoma"/>
            <charset val="1"/>
          </rPr>
          <t xml:space="preserve">
In 1.36 there is also long straddle 2606 but HC=121,328</t>
        </r>
      </text>
    </comment>
    <comment ref="B39" authorId="0" shapeId="0" xr:uid="{AB01AAE5-F36A-418C-9523-B79D1E16EABC}">
      <text>
        <r>
          <rPr>
            <b/>
            <sz val="9"/>
            <color indexed="81"/>
            <rFont val="Tahoma"/>
            <charset val="1"/>
          </rPr>
          <t>Anabitarte Lopez, Olga:</t>
        </r>
        <r>
          <rPr>
            <sz val="9"/>
            <color indexed="81"/>
            <rFont val="Tahoma"/>
            <charset val="1"/>
          </rPr>
          <t xml:space="preserve">
could be CTEST.1.22 - 20260226 DiagonalSpread0. also 09put and 03put</t>
        </r>
      </text>
    </comment>
  </commentList>
</comments>
</file>

<file path=xl/sharedStrings.xml><?xml version="1.0" encoding="utf-8"?>
<sst xmlns="http://schemas.openxmlformats.org/spreadsheetml/2006/main" count="530" uniqueCount="182">
  <si>
    <t>Date</t>
  </si>
  <si>
    <t>portfolio 1</t>
  </si>
  <si>
    <t>portfolio 2</t>
  </si>
  <si>
    <t>portfolio 3</t>
  </si>
  <si>
    <t>portfolio 4</t>
  </si>
  <si>
    <t>portfolio 5</t>
  </si>
  <si>
    <t>portfolio 6</t>
  </si>
  <si>
    <t>portfolio 7</t>
  </si>
  <si>
    <t>portfolio 8</t>
  </si>
  <si>
    <t>portfolio 9</t>
  </si>
  <si>
    <t>portfolio 10</t>
  </si>
  <si>
    <t>portfolio 11</t>
  </si>
  <si>
    <t>portfolio 12</t>
  </si>
  <si>
    <t>portfolio 13</t>
  </si>
  <si>
    <t>portfolio 14</t>
  </si>
  <si>
    <t>portfolio 15</t>
  </si>
  <si>
    <t>CME margin</t>
  </si>
  <si>
    <t>CoH haircut</t>
  </si>
  <si>
    <t>CoH haircut with new params</t>
  </si>
  <si>
    <t>Note(03, 06, 09)</t>
  </si>
  <si>
    <t>-100, 0, -100</t>
  </si>
  <si>
    <t>-100, 100, -100</t>
  </si>
  <si>
    <t>-100, 100, 0</t>
  </si>
  <si>
    <t>-100, -100, 100</t>
  </si>
  <si>
    <t>100, 0, -100</t>
  </si>
  <si>
    <t>0, 100, -100</t>
  </si>
  <si>
    <t>100, 100, 100</t>
  </si>
  <si>
    <t>100, 0, 100</t>
  </si>
  <si>
    <t>100' -100, 100</t>
  </si>
  <si>
    <t>0, -100, 100</t>
  </si>
  <si>
    <t>100, -100, 0</t>
  </si>
  <si>
    <t>100, 100, -100</t>
  </si>
  <si>
    <t>100, -100, 100</t>
  </si>
  <si>
    <t>0, -100, -100</t>
  </si>
  <si>
    <t>0, 100, 100</t>
  </si>
  <si>
    <t>Note</t>
  </si>
  <si>
    <t>portfolio 16</t>
  </si>
  <si>
    <t>portfolio 17</t>
  </si>
  <si>
    <t>portfolio 18</t>
  </si>
  <si>
    <t>portfolio 19</t>
  </si>
  <si>
    <t>portfolio 20</t>
  </si>
  <si>
    <t>cc06</t>
  </si>
  <si>
    <t>cc03</t>
  </si>
  <si>
    <t>cc09</t>
  </si>
  <si>
    <t>dn03</t>
  </si>
  <si>
    <t>dn06</t>
  </si>
  <si>
    <t>dn09</t>
  </si>
  <si>
    <t>pp03</t>
  </si>
  <si>
    <t>pp06</t>
  </si>
  <si>
    <t>pp09</t>
  </si>
  <si>
    <t>portfolio1</t>
  </si>
  <si>
    <t>portfolio2</t>
  </si>
  <si>
    <t>portfolio3</t>
  </si>
  <si>
    <t>portfolio4</t>
  </si>
  <si>
    <t>portfolio5</t>
  </si>
  <si>
    <t>bearishcall03</t>
  </si>
  <si>
    <t>bearishcall06</t>
  </si>
  <si>
    <t>bearishcall09</t>
  </si>
  <si>
    <t>bearishput03</t>
  </si>
  <si>
    <t>bearishput06</t>
  </si>
  <si>
    <t>bearishput09</t>
  </si>
  <si>
    <t>bullishcall03</t>
  </si>
  <si>
    <t>bullishcall06</t>
  </si>
  <si>
    <t>bullishcall09</t>
  </si>
  <si>
    <t>bullishput03</t>
  </si>
  <si>
    <t>bullishput06</t>
  </si>
  <si>
    <t>bullishput09</t>
  </si>
  <si>
    <t>portfolio6</t>
  </si>
  <si>
    <t>portfolio7</t>
  </si>
  <si>
    <t>portfolio8</t>
  </si>
  <si>
    <t>portfolio9</t>
  </si>
  <si>
    <t>portfolio10</t>
  </si>
  <si>
    <t>portfolio11</t>
  </si>
  <si>
    <t>portfolio12</t>
  </si>
  <si>
    <t xml:space="preserve">margin </t>
  </si>
  <si>
    <t>portfolio13</t>
  </si>
  <si>
    <t>portfolio14</t>
  </si>
  <si>
    <t>portfolio15</t>
  </si>
  <si>
    <t>portfolio16</t>
  </si>
  <si>
    <t>portfolio17</t>
  </si>
  <si>
    <t>portfolio18</t>
  </si>
  <si>
    <t>CS 06call7450 03call6330</t>
  </si>
  <si>
    <t>CS 06put5900 03put5900</t>
  </si>
  <si>
    <t>CS 09call7200 03call7200</t>
  </si>
  <si>
    <t xml:space="preserve">DS 09put 03 put </t>
  </si>
  <si>
    <t xml:space="preserve">DS 2703call 2603call </t>
  </si>
  <si>
    <t xml:space="preserve">DS 03call 12call </t>
  </si>
  <si>
    <t>long straddle 2912</t>
  </si>
  <si>
    <t>long straddle 2712</t>
  </si>
  <si>
    <t>long straddle 2606</t>
  </si>
  <si>
    <t>portfolio19</t>
  </si>
  <si>
    <t>portfolio20</t>
  </si>
  <si>
    <t>portfolio21</t>
  </si>
  <si>
    <t>portfolio22</t>
  </si>
  <si>
    <t>portfolio23</t>
  </si>
  <si>
    <t>portfolio24</t>
  </si>
  <si>
    <t>portfolio25</t>
  </si>
  <si>
    <t>portfolio26</t>
  </si>
  <si>
    <t>portfolio27</t>
  </si>
  <si>
    <t>portfolio28</t>
  </si>
  <si>
    <t>portfolio29</t>
  </si>
  <si>
    <t>portfolio30</t>
  </si>
  <si>
    <t>portfolio31</t>
  </si>
  <si>
    <t>portfolio32</t>
  </si>
  <si>
    <t>portfolio33</t>
  </si>
  <si>
    <t>CS 09call 03call</t>
  </si>
  <si>
    <t>CS 12call 03call</t>
  </si>
  <si>
    <t>CS 06call 03call</t>
  </si>
  <si>
    <t>portfolio34</t>
  </si>
  <si>
    <t>portfolio35</t>
  </si>
  <si>
    <t>portfolio36</t>
  </si>
  <si>
    <t>DS 09call 03 call</t>
  </si>
  <si>
    <t>DS 09put 03put</t>
  </si>
  <si>
    <t>portfolio37</t>
  </si>
  <si>
    <t>portfolio38</t>
  </si>
  <si>
    <t>portfolio39</t>
  </si>
  <si>
    <t>straddle 2606</t>
  </si>
  <si>
    <t>straddle 2712</t>
  </si>
  <si>
    <t>straddle 2912</t>
  </si>
  <si>
    <t>straddle 2609</t>
  </si>
  <si>
    <t>portfolio40</t>
  </si>
  <si>
    <t>portfolio41</t>
  </si>
  <si>
    <t>portfolio42</t>
  </si>
  <si>
    <t>portfolio43</t>
  </si>
  <si>
    <t>portfolio44</t>
  </si>
  <si>
    <t>portfolio45</t>
  </si>
  <si>
    <t>portfolio46</t>
  </si>
  <si>
    <t>portfolio47</t>
  </si>
  <si>
    <t>strangle 2606</t>
  </si>
  <si>
    <t>strangle 2612</t>
  </si>
  <si>
    <t>portfolio48</t>
  </si>
  <si>
    <t>portfolio49</t>
  </si>
  <si>
    <t>portfolio50</t>
  </si>
  <si>
    <t>portfolio51</t>
  </si>
  <si>
    <t>portfolio52</t>
  </si>
  <si>
    <t>portfolio53</t>
  </si>
  <si>
    <t>portfolio54</t>
  </si>
  <si>
    <t>portfolio55</t>
  </si>
  <si>
    <t>portfolio56</t>
  </si>
  <si>
    <t>portfolio57</t>
  </si>
  <si>
    <t>CS 12put 09put</t>
  </si>
  <si>
    <t>CS 06put 03put</t>
  </si>
  <si>
    <t>DS 06call 03call</t>
  </si>
  <si>
    <t>portfolio58</t>
  </si>
  <si>
    <t>portfolio59</t>
  </si>
  <si>
    <t>portfolio60</t>
  </si>
  <si>
    <t>portfolio61</t>
  </si>
  <si>
    <t>portfolio62</t>
  </si>
  <si>
    <t>portfolio63</t>
  </si>
  <si>
    <t>straddle 2706</t>
  </si>
  <si>
    <t>portfolio64</t>
  </si>
  <si>
    <t>portfolio65</t>
  </si>
  <si>
    <t>portfolio66</t>
  </si>
  <si>
    <t>CS 09put 03put</t>
  </si>
  <si>
    <t>CS 12put 03put</t>
  </si>
  <si>
    <t>DS 06call29k 03call27.3k</t>
  </si>
  <si>
    <t>DS 06call 29k 03call25.75k</t>
  </si>
  <si>
    <t>straddle2612</t>
  </si>
  <si>
    <t>straddle2609</t>
  </si>
  <si>
    <t>straddle2606</t>
  </si>
  <si>
    <t>DS 09call 03call</t>
  </si>
  <si>
    <t>DS 12put 03put</t>
  </si>
  <si>
    <t>straddle09</t>
  </si>
  <si>
    <t>straddle12</t>
  </si>
  <si>
    <t>straddle06</t>
  </si>
  <si>
    <t>CS 12call 09call</t>
  </si>
  <si>
    <t>CS 03put 06put</t>
  </si>
  <si>
    <t>CS 03call 09call</t>
  </si>
  <si>
    <t>DS 06put 03put</t>
  </si>
  <si>
    <t>DS 06call28k 03call21k</t>
  </si>
  <si>
    <t>straddle6</t>
  </si>
  <si>
    <t>Portfolio</t>
  </si>
  <si>
    <t>Row Labels</t>
  </si>
  <si>
    <t>Grand Total</t>
  </si>
  <si>
    <t>Average of CME margin</t>
  </si>
  <si>
    <t>Average of CoH haircut</t>
  </si>
  <si>
    <t>Average of CoH haircut with new params</t>
  </si>
  <si>
    <t>DS 09put 12put</t>
  </si>
  <si>
    <t>CS 03put 09put</t>
  </si>
  <si>
    <t>DS 03call 06call</t>
  </si>
  <si>
    <t>Strikes different??</t>
  </si>
  <si>
    <t>DS 06call 03call 6460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</si>
</sst>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0"/>
      <color theme="1"/>
      <name val="ABN AMRO Sans"/>
      <family val="2"/>
    </font>
    <font>
      <sz val="10"/>
      <color theme="1"/>
      <name val="ABN AMRO Sans"/>
      <family val="2"/>
    </font>
    <font>
      <sz val="8"/>
      <name val="ABN AMRO Sans"/>
      <family val="2"/>
    </font>
    <font>
      <sz val="10"/>
      <name val="ABN AMRO San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theme="1"/>
      <name val="ABN AMR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1" applyFont="1"/>
    <xf numFmtId="14" fontId="0" fillId="0" borderId="1" xfId="0" applyNumberFormat="1" applyBorder="1"/>
    <xf numFmtId="0" fontId="0" fillId="0" borderId="1" xfId="0" quotePrefix="1" applyBorder="1"/>
    <xf numFmtId="0" fontId="0" fillId="0" borderId="1" xfId="0" applyBorder="1"/>
    <xf numFmtId="164" fontId="0" fillId="0" borderId="1" xfId="1" applyFont="1" applyBorder="1"/>
    <xf numFmtId="164" fontId="0" fillId="0" borderId="0" xfId="1" applyFont="1" applyBorder="1"/>
    <xf numFmtId="164" fontId="0" fillId="0" borderId="0" xfId="1" applyFont="1" applyFill="1" applyBorder="1"/>
    <xf numFmtId="164" fontId="0" fillId="0" borderId="1" xfId="1" applyFont="1" applyFill="1" applyBorder="1"/>
    <xf numFmtId="3" fontId="0" fillId="0" borderId="0" xfId="0" applyNumberFormat="1"/>
    <xf numFmtId="164" fontId="0" fillId="2" borderId="0" xfId="1" applyFont="1" applyFill="1"/>
    <xf numFmtId="164" fontId="0" fillId="2" borderId="1" xfId="1" applyFont="1" applyFill="1" applyBorder="1"/>
    <xf numFmtId="164" fontId="3" fillId="0" borderId="0" xfId="1" applyFont="1"/>
    <xf numFmtId="164" fontId="3" fillId="0" borderId="1" xfId="1" applyFont="1" applyBorder="1"/>
    <xf numFmtId="164" fontId="3" fillId="0" borderId="0" xfId="1" applyFont="1" applyBorder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" fontId="0" fillId="0" borderId="0" xfId="0" applyNumberFormat="1"/>
    <xf numFmtId="0" fontId="0" fillId="0" borderId="2" xfId="0" applyBorder="1"/>
    <xf numFmtId="164" fontId="0" fillId="0" borderId="0" xfId="1" applyFont="1" applyFill="1"/>
    <xf numFmtId="164" fontId="3" fillId="0" borderId="0" xfId="1" applyFont="1" applyFill="1"/>
    <xf numFmtId="164" fontId="3" fillId="0" borderId="1" xfId="1" applyFont="1" applyFill="1" applyBorder="1"/>
    <xf numFmtId="0" fontId="6" fillId="0" borderId="0" xfId="0" pivotButton="1" applyFont="1"/>
    <xf numFmtId="0" fontId="6" fillId="0" borderId="0" xfId="0" applyFont="1"/>
    <xf numFmtId="0" fontId="6" fillId="0" borderId="0" xfId="0" applyFont="1" applyAlignment="1">
      <alignment horizontal="left"/>
    </xf>
    <xf numFmtId="4" fontId="6" fillId="0" borderId="0" xfId="0" applyNumberFormat="1" applyFont="1"/>
    <xf numFmtId="0" fontId="6" fillId="0" borderId="1" xfId="0" applyFont="1" applyBorder="1"/>
    <xf numFmtId="0" fontId="0" fillId="3" borderId="1" xfId="0" applyFill="1" applyBorder="1"/>
    <xf numFmtId="164" fontId="1" fillId="0" borderId="0" xfId="1" applyFont="1"/>
    <xf numFmtId="164" fontId="1" fillId="0" borderId="1" xfId="1" applyFont="1" applyBorder="1"/>
  </cellXfs>
  <cellStyles count="2">
    <cellStyle name="Comma" xfId="1" builtinId="3"/>
    <cellStyle name="Normal" xfId="0" builtinId="0"/>
  </cellStyles>
  <dxfs count="10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ES linear portfolios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 linear'!$D$1</c:f>
              <c:strCache>
                <c:ptCount val="1"/>
                <c:pt idx="0">
                  <c:v> CME margin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'ES linear'!$C$2:$C$16</c:f>
              <c:strCache>
                <c:ptCount val="15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  <c:pt idx="9">
                  <c:v>portfolio 10</c:v>
                </c:pt>
                <c:pt idx="10">
                  <c:v>portfolio 11</c:v>
                </c:pt>
                <c:pt idx="11">
                  <c:v>portfolio 12</c:v>
                </c:pt>
                <c:pt idx="12">
                  <c:v>portfolio 13</c:v>
                </c:pt>
                <c:pt idx="13">
                  <c:v>portfolio 14</c:v>
                </c:pt>
                <c:pt idx="14">
                  <c:v>portfolio 15</c:v>
                </c:pt>
              </c:strCache>
            </c:strRef>
          </c:cat>
          <c:val>
            <c:numRef>
              <c:f>'ES linear'!$D$2:$D$16</c:f>
              <c:numCache>
                <c:formatCode>_-* #,##0.00_-;\-* #,##0.00_-;_-* "-"??_-;_-@_-</c:formatCode>
                <c:ptCount val="15"/>
                <c:pt idx="0">
                  <c:v>-4499462.5</c:v>
                </c:pt>
                <c:pt idx="1">
                  <c:v>-2249746.41</c:v>
                </c:pt>
                <c:pt idx="2">
                  <c:v>-29553.93</c:v>
                </c:pt>
                <c:pt idx="3">
                  <c:v>-2227102.41</c:v>
                </c:pt>
                <c:pt idx="4">
                  <c:v>-50427.37</c:v>
                </c:pt>
                <c:pt idx="5">
                  <c:v>-38249.51</c:v>
                </c:pt>
                <c:pt idx="6">
                  <c:v>-7299687.79</c:v>
                </c:pt>
                <c:pt idx="7">
                  <c:v>-29522.77</c:v>
                </c:pt>
                <c:pt idx="8">
                  <c:v>-4864269.1100000003</c:v>
                </c:pt>
                <c:pt idx="9">
                  <c:v>-2428850.4300000002</c:v>
                </c:pt>
                <c:pt idx="10">
                  <c:v>-29503.75</c:v>
                </c:pt>
                <c:pt idx="11">
                  <c:v>-38305.57</c:v>
                </c:pt>
                <c:pt idx="12">
                  <c:v>-41314.129999999997</c:v>
                </c:pt>
                <c:pt idx="13">
                  <c:v>-4866485.79</c:v>
                </c:pt>
                <c:pt idx="14">
                  <c:v>-2246939.13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3-433D-92E6-12B5C5DC9AFF}"/>
            </c:ext>
          </c:extLst>
        </c:ser>
        <c:ser>
          <c:idx val="1"/>
          <c:order val="1"/>
          <c:tx>
            <c:strRef>
              <c:f>'ES linear'!$E$1</c:f>
              <c:strCache>
                <c:ptCount val="1"/>
                <c:pt idx="0">
                  <c:v> CoH haircut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'ES linear'!$C$2:$C$16</c:f>
              <c:strCache>
                <c:ptCount val="15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  <c:pt idx="9">
                  <c:v>portfolio 10</c:v>
                </c:pt>
                <c:pt idx="10">
                  <c:v>portfolio 11</c:v>
                </c:pt>
                <c:pt idx="11">
                  <c:v>portfolio 12</c:v>
                </c:pt>
                <c:pt idx="12">
                  <c:v>portfolio 13</c:v>
                </c:pt>
                <c:pt idx="13">
                  <c:v>portfolio 14</c:v>
                </c:pt>
                <c:pt idx="14">
                  <c:v>portfolio 15</c:v>
                </c:pt>
              </c:strCache>
            </c:strRef>
          </c:cat>
          <c:val>
            <c:numRef>
              <c:f>'ES linear'!$E$2:$E$16</c:f>
              <c:numCache>
                <c:formatCode>_-* #,##0.00_-;\-* #,##0.00_-;_-* "-"??_-;_-@_-</c:formatCode>
                <c:ptCount val="15"/>
                <c:pt idx="0">
                  <c:v>-3563154</c:v>
                </c:pt>
                <c:pt idx="1">
                  <c:v>-1783409</c:v>
                </c:pt>
                <c:pt idx="2">
                  <c:v>-26574</c:v>
                </c:pt>
                <c:pt idx="3">
                  <c:v>-1752985</c:v>
                </c:pt>
                <c:pt idx="4">
                  <c:v>-36225</c:v>
                </c:pt>
                <c:pt idx="5">
                  <c:v>-19728</c:v>
                </c:pt>
                <c:pt idx="6">
                  <c:v>-7983451</c:v>
                </c:pt>
                <c:pt idx="7">
                  <c:v>-29694</c:v>
                </c:pt>
                <c:pt idx="8">
                  <c:v>-5321547</c:v>
                </c:pt>
                <c:pt idx="9">
                  <c:v>-2661387</c:v>
                </c:pt>
                <c:pt idx="10">
                  <c:v>-30611</c:v>
                </c:pt>
                <c:pt idx="11">
                  <c:v>-20346</c:v>
                </c:pt>
                <c:pt idx="12">
                  <c:v>-28317</c:v>
                </c:pt>
                <c:pt idx="13">
                  <c:v>-5298821</c:v>
                </c:pt>
                <c:pt idx="14">
                  <c:v>-1770018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3-433D-92E6-12B5C5DC9AFF}"/>
            </c:ext>
          </c:extLst>
        </c:ser>
        <c:ser>
          <c:idx val="2"/>
          <c:order val="2"/>
          <c:tx>
            <c:strRef>
              <c:f>'ES linear'!$F$1</c:f>
              <c:strCache>
                <c:ptCount val="1"/>
                <c:pt idx="0">
                  <c:v> CoH haircut with new params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'ES linear'!$C$2:$C$16</c:f>
              <c:strCache>
                <c:ptCount val="15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  <c:pt idx="9">
                  <c:v>portfolio 10</c:v>
                </c:pt>
                <c:pt idx="10">
                  <c:v>portfolio 11</c:v>
                </c:pt>
                <c:pt idx="11">
                  <c:v>portfolio 12</c:v>
                </c:pt>
                <c:pt idx="12">
                  <c:v>portfolio 13</c:v>
                </c:pt>
                <c:pt idx="13">
                  <c:v>portfolio 14</c:v>
                </c:pt>
                <c:pt idx="14">
                  <c:v>portfolio 15</c:v>
                </c:pt>
              </c:strCache>
            </c:strRef>
          </c:cat>
          <c:val>
            <c:numRef>
              <c:f>'ES linear'!$F$2:$F$16</c:f>
              <c:numCache>
                <c:formatCode>_-* #,##0.00_-;\-* #,##0.00_-;_-* "-"??_-;_-@_-</c:formatCode>
                <c:ptCount val="15"/>
                <c:pt idx="0">
                  <c:v>-3433621</c:v>
                </c:pt>
                <c:pt idx="1">
                  <c:v>-1718651</c:v>
                </c:pt>
                <c:pt idx="2">
                  <c:v>-24928</c:v>
                </c:pt>
                <c:pt idx="3">
                  <c:v>-1689313</c:v>
                </c:pt>
                <c:pt idx="4">
                  <c:v>-35122</c:v>
                </c:pt>
                <c:pt idx="5">
                  <c:v>-19165</c:v>
                </c:pt>
                <c:pt idx="6">
                  <c:v>-7414287</c:v>
                </c:pt>
                <c:pt idx="7">
                  <c:v>-27921</c:v>
                </c:pt>
                <c:pt idx="8">
                  <c:v>-4942143</c:v>
                </c:pt>
                <c:pt idx="9">
                  <c:v>-2471743</c:v>
                </c:pt>
                <c:pt idx="10">
                  <c:v>-28801</c:v>
                </c:pt>
                <c:pt idx="11">
                  <c:v>-19764</c:v>
                </c:pt>
                <c:pt idx="12">
                  <c:v>-26606</c:v>
                </c:pt>
                <c:pt idx="13">
                  <c:v>-4921050</c:v>
                </c:pt>
                <c:pt idx="14">
                  <c:v>-1705814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E3-433D-92E6-12B5C5DC9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464799"/>
        <c:axId val="1259454239"/>
      </c:lineChart>
      <c:catAx>
        <c:axId val="125946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54239"/>
        <c:crosses val="autoZero"/>
        <c:auto val="1"/>
        <c:lblAlgn val="ctr"/>
        <c:lblOffset val="100"/>
        <c:noMultiLvlLbl val="0"/>
      </c:catAx>
      <c:valAx>
        <c:axId val="12594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6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[ES_NQ_threeway comparison.xlsx]ES mixed!PivotTable1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u="none"/>
              <a:t>SPX mixed</a:t>
            </a:r>
            <a:r>
              <a:rPr lang="en-GB" b="1" u="none" baseline="0"/>
              <a:t> portfolios</a:t>
            </a:r>
            <a:endParaRPr lang="en-GB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 mixed'!$O$1</c:f>
              <c:strCache>
                <c:ptCount val="1"/>
                <c:pt idx="0">
                  <c:v>Average of CME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 mixed'!$N$2:$N$11</c:f>
              <c:strCache>
                <c:ptCount val="9"/>
                <c:pt idx="0">
                  <c:v>cc03</c:v>
                </c:pt>
                <c:pt idx="1">
                  <c:v>cc06</c:v>
                </c:pt>
                <c:pt idx="2">
                  <c:v>cc09</c:v>
                </c:pt>
                <c:pt idx="3">
                  <c:v>dn03</c:v>
                </c:pt>
                <c:pt idx="4">
                  <c:v>dn06</c:v>
                </c:pt>
                <c:pt idx="5">
                  <c:v>dn09</c:v>
                </c:pt>
                <c:pt idx="6">
                  <c:v>pp03</c:v>
                </c:pt>
                <c:pt idx="7">
                  <c:v>pp06</c:v>
                </c:pt>
                <c:pt idx="8">
                  <c:v>pp09</c:v>
                </c:pt>
              </c:strCache>
            </c:strRef>
          </c:cat>
          <c:val>
            <c:numRef>
              <c:f>'ES mixed'!$O$2:$O$11</c:f>
              <c:numCache>
                <c:formatCode>#,##0.00</c:formatCode>
                <c:ptCount val="9"/>
                <c:pt idx="0">
                  <c:v>-2786904.8766666665</c:v>
                </c:pt>
                <c:pt idx="1">
                  <c:v>-4538865.8766666669</c:v>
                </c:pt>
                <c:pt idx="2">
                  <c:v>-2712736.4066666667</c:v>
                </c:pt>
                <c:pt idx="3">
                  <c:v>-20599381.774999999</c:v>
                </c:pt>
                <c:pt idx="4">
                  <c:v>-14143753.18</c:v>
                </c:pt>
                <c:pt idx="5">
                  <c:v>-11551482.475</c:v>
                </c:pt>
                <c:pt idx="6">
                  <c:v>-1389643.03</c:v>
                </c:pt>
                <c:pt idx="7">
                  <c:v>-2212413.375</c:v>
                </c:pt>
                <c:pt idx="8">
                  <c:v>-560995.625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6-4EC9-BFCA-1FDECC0E048B}"/>
            </c:ext>
          </c:extLst>
        </c:ser>
        <c:ser>
          <c:idx val="1"/>
          <c:order val="1"/>
          <c:tx>
            <c:strRef>
              <c:f>'ES mixed'!$P$1</c:f>
              <c:strCache>
                <c:ptCount val="1"/>
                <c:pt idx="0">
                  <c:v>Average of CoH haircut with new params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 mixed'!$N$2:$N$11</c:f>
              <c:strCache>
                <c:ptCount val="9"/>
                <c:pt idx="0">
                  <c:v>cc03</c:v>
                </c:pt>
                <c:pt idx="1">
                  <c:v>cc06</c:v>
                </c:pt>
                <c:pt idx="2">
                  <c:v>cc09</c:v>
                </c:pt>
                <c:pt idx="3">
                  <c:v>dn03</c:v>
                </c:pt>
                <c:pt idx="4">
                  <c:v>dn06</c:v>
                </c:pt>
                <c:pt idx="5">
                  <c:v>dn09</c:v>
                </c:pt>
                <c:pt idx="6">
                  <c:v>pp03</c:v>
                </c:pt>
                <c:pt idx="7">
                  <c:v>pp06</c:v>
                </c:pt>
                <c:pt idx="8">
                  <c:v>pp09</c:v>
                </c:pt>
              </c:strCache>
            </c:strRef>
          </c:cat>
          <c:val>
            <c:numRef>
              <c:f>'ES mixed'!$P$2:$P$11</c:f>
              <c:numCache>
                <c:formatCode>#,##0.00</c:formatCode>
                <c:ptCount val="9"/>
                <c:pt idx="0">
                  <c:v>-1822301.6666666667</c:v>
                </c:pt>
                <c:pt idx="1">
                  <c:v>-1784289.6666666667</c:v>
                </c:pt>
                <c:pt idx="2">
                  <c:v>-2293996.6666666665</c:v>
                </c:pt>
                <c:pt idx="3">
                  <c:v>-15578143.5</c:v>
                </c:pt>
                <c:pt idx="4">
                  <c:v>-9201999</c:v>
                </c:pt>
                <c:pt idx="5">
                  <c:v>-7411134</c:v>
                </c:pt>
                <c:pt idx="6">
                  <c:v>-1770461.5</c:v>
                </c:pt>
                <c:pt idx="7">
                  <c:v>-2353982</c:v>
                </c:pt>
                <c:pt idx="8">
                  <c:v>-1667272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6-4EC9-BFCA-1FDECC0E048B}"/>
            </c:ext>
          </c:extLst>
        </c:ser>
        <c:ser>
          <c:idx val="2"/>
          <c:order val="2"/>
          <c:tx>
            <c:strRef>
              <c:f>'ES mixed'!$Q$1</c:f>
              <c:strCache>
                <c:ptCount val="1"/>
                <c:pt idx="0">
                  <c:v>Average of CoH haircut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'ES mixed'!$N$2:$N$11</c:f>
              <c:strCache>
                <c:ptCount val="9"/>
                <c:pt idx="0">
                  <c:v>cc03</c:v>
                </c:pt>
                <c:pt idx="1">
                  <c:v>cc06</c:v>
                </c:pt>
                <c:pt idx="2">
                  <c:v>cc09</c:v>
                </c:pt>
                <c:pt idx="3">
                  <c:v>dn03</c:v>
                </c:pt>
                <c:pt idx="4">
                  <c:v>dn06</c:v>
                </c:pt>
                <c:pt idx="5">
                  <c:v>dn09</c:v>
                </c:pt>
                <c:pt idx="6">
                  <c:v>pp03</c:v>
                </c:pt>
                <c:pt idx="7">
                  <c:v>pp06</c:v>
                </c:pt>
                <c:pt idx="8">
                  <c:v>pp09</c:v>
                </c:pt>
              </c:strCache>
            </c:strRef>
          </c:cat>
          <c:val>
            <c:numRef>
              <c:f>'ES mixed'!$Q$2:$Q$11</c:f>
              <c:numCache>
                <c:formatCode>#,##0.00</c:formatCode>
                <c:ptCount val="9"/>
                <c:pt idx="0">
                  <c:v>-2097660.6666666665</c:v>
                </c:pt>
                <c:pt idx="1">
                  <c:v>-1955133.3333333333</c:v>
                </c:pt>
                <c:pt idx="2">
                  <c:v>-2500180.3333333335</c:v>
                </c:pt>
                <c:pt idx="3">
                  <c:v>-24145598</c:v>
                </c:pt>
                <c:pt idx="4">
                  <c:v>-11214978</c:v>
                </c:pt>
                <c:pt idx="5">
                  <c:v>-8341738</c:v>
                </c:pt>
                <c:pt idx="6">
                  <c:v>-1814737.5</c:v>
                </c:pt>
                <c:pt idx="7">
                  <c:v>-2514944.5</c:v>
                </c:pt>
                <c:pt idx="8">
                  <c:v>-1742726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C6-4EC9-BFCA-1FDECC0E0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863951"/>
        <c:axId val="1581849551"/>
      </c:barChart>
      <c:catAx>
        <c:axId val="15818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49551"/>
        <c:crosses val="autoZero"/>
        <c:auto val="1"/>
        <c:lblAlgn val="ctr"/>
        <c:lblOffset val="100"/>
        <c:noMultiLvlLbl val="0"/>
      </c:catAx>
      <c:valAx>
        <c:axId val="1581849551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6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</a:t>
            </a:r>
            <a:r>
              <a:rPr lang="en-US" baseline="0"/>
              <a:t> mixed portoflios</a:t>
            </a:r>
          </a:p>
        </c:rich>
      </c:tx>
      <c:layout>
        <c:manualLayout>
          <c:xMode val="edge"/>
          <c:yMode val="edge"/>
          <c:x val="0.43189735693642212"/>
          <c:y val="3.1217481789802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 mixed'!$D$1</c:f>
              <c:strCache>
                <c:ptCount val="1"/>
                <c:pt idx="0">
                  <c:v> CME margin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'ES mixed'!$C$2:$C$21</c:f>
              <c:strCache>
                <c:ptCount val="20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  <c:pt idx="9">
                  <c:v>portfolio 10</c:v>
                </c:pt>
                <c:pt idx="10">
                  <c:v>portfolio 11</c:v>
                </c:pt>
                <c:pt idx="11">
                  <c:v>portfolio 12</c:v>
                </c:pt>
                <c:pt idx="12">
                  <c:v>portfolio 13</c:v>
                </c:pt>
                <c:pt idx="13">
                  <c:v>portfolio 14</c:v>
                </c:pt>
                <c:pt idx="14">
                  <c:v>portfolio 15</c:v>
                </c:pt>
                <c:pt idx="15">
                  <c:v>portfolio 16</c:v>
                </c:pt>
                <c:pt idx="16">
                  <c:v>portfolio 17</c:v>
                </c:pt>
                <c:pt idx="17">
                  <c:v>portfolio 18</c:v>
                </c:pt>
                <c:pt idx="18">
                  <c:v>portfolio 19</c:v>
                </c:pt>
                <c:pt idx="19">
                  <c:v>portfolio 20</c:v>
                </c:pt>
              </c:strCache>
            </c:strRef>
          </c:cat>
          <c:val>
            <c:numRef>
              <c:f>'ES mixed'!$D$2:$D$21</c:f>
              <c:numCache>
                <c:formatCode>_-* #,##0.00_-;\-* #,##0.00_-;_-* "-"??_-;_-@_-</c:formatCode>
                <c:ptCount val="20"/>
                <c:pt idx="0">
                  <c:v>-2418340.73</c:v>
                </c:pt>
                <c:pt idx="1">
                  <c:v>-2442395.69</c:v>
                </c:pt>
                <c:pt idx="2">
                  <c:v>-3108850.22</c:v>
                </c:pt>
                <c:pt idx="3">
                  <c:v>-23349833.870000001</c:v>
                </c:pt>
                <c:pt idx="4">
                  <c:v>-14143753.18</c:v>
                </c:pt>
                <c:pt idx="5">
                  <c:v>-13550827.27</c:v>
                </c:pt>
                <c:pt idx="6">
                  <c:v>-1518813.98</c:v>
                </c:pt>
                <c:pt idx="7">
                  <c:v>-2148771.94</c:v>
                </c:pt>
                <c:pt idx="8">
                  <c:v>-154654.98000000001</c:v>
                </c:pt>
                <c:pt idx="9">
                  <c:v>-2423712.96</c:v>
                </c:pt>
                <c:pt idx="10">
                  <c:v>-2477333.04</c:v>
                </c:pt>
                <c:pt idx="11">
                  <c:v>-2499297.54</c:v>
                </c:pt>
                <c:pt idx="12">
                  <c:v>-17848929.68</c:v>
                </c:pt>
                <c:pt idx="13">
                  <c:v>-9552137.6799999997</c:v>
                </c:pt>
                <c:pt idx="14">
                  <c:v>-1260472.08</c:v>
                </c:pt>
                <c:pt idx="15">
                  <c:v>-2276054.81</c:v>
                </c:pt>
                <c:pt idx="16">
                  <c:v>-967336.27</c:v>
                </c:pt>
                <c:pt idx="17">
                  <c:v>-3518660.94</c:v>
                </c:pt>
                <c:pt idx="18">
                  <c:v>-8696868.9000000004</c:v>
                </c:pt>
                <c:pt idx="19">
                  <c:v>-2530061.46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2-4714-B067-375F23088987}"/>
            </c:ext>
          </c:extLst>
        </c:ser>
        <c:ser>
          <c:idx val="1"/>
          <c:order val="1"/>
          <c:tx>
            <c:strRef>
              <c:f>'ES mixed'!$E$1</c:f>
              <c:strCache>
                <c:ptCount val="1"/>
                <c:pt idx="0">
                  <c:v> CoH haircut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'ES mixed'!$C$2:$C$21</c:f>
              <c:strCache>
                <c:ptCount val="20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  <c:pt idx="9">
                  <c:v>portfolio 10</c:v>
                </c:pt>
                <c:pt idx="10">
                  <c:v>portfolio 11</c:v>
                </c:pt>
                <c:pt idx="11">
                  <c:v>portfolio 12</c:v>
                </c:pt>
                <c:pt idx="12">
                  <c:v>portfolio 13</c:v>
                </c:pt>
                <c:pt idx="13">
                  <c:v>portfolio 14</c:v>
                </c:pt>
                <c:pt idx="14">
                  <c:v>portfolio 15</c:v>
                </c:pt>
                <c:pt idx="15">
                  <c:v>portfolio 16</c:v>
                </c:pt>
                <c:pt idx="16">
                  <c:v>portfolio 17</c:v>
                </c:pt>
                <c:pt idx="17">
                  <c:v>portfolio 18</c:v>
                </c:pt>
                <c:pt idx="18">
                  <c:v>portfolio 19</c:v>
                </c:pt>
                <c:pt idx="19">
                  <c:v>portfolio 20</c:v>
                </c:pt>
              </c:strCache>
            </c:strRef>
          </c:cat>
          <c:val>
            <c:numRef>
              <c:f>'ES mixed'!$E$2:$E$21</c:f>
              <c:numCache>
                <c:formatCode>_-* #,##0.00_-;\-* #,##0.00_-;_-* "-"??_-;_-@_-</c:formatCode>
                <c:ptCount val="20"/>
                <c:pt idx="0">
                  <c:v>-2461133</c:v>
                </c:pt>
                <c:pt idx="1">
                  <c:v>-2698848</c:v>
                </c:pt>
                <c:pt idx="2">
                  <c:v>-2033493</c:v>
                </c:pt>
                <c:pt idx="3">
                  <c:v>-26840655</c:v>
                </c:pt>
                <c:pt idx="4">
                  <c:v>-11214978</c:v>
                </c:pt>
                <c:pt idx="5">
                  <c:v>-9803965</c:v>
                </c:pt>
                <c:pt idx="6">
                  <c:v>-1954812</c:v>
                </c:pt>
                <c:pt idx="7">
                  <c:v>-2474560</c:v>
                </c:pt>
                <c:pt idx="8">
                  <c:v>-1559557</c:v>
                </c:pt>
                <c:pt idx="9">
                  <c:v>-2693964</c:v>
                </c:pt>
                <c:pt idx="10">
                  <c:v>-2737560</c:v>
                </c:pt>
                <c:pt idx="11">
                  <c:v>-2755970</c:v>
                </c:pt>
                <c:pt idx="12">
                  <c:v>-21450541</c:v>
                </c:pt>
                <c:pt idx="13">
                  <c:v>-6879511</c:v>
                </c:pt>
                <c:pt idx="14">
                  <c:v>-1674663</c:v>
                </c:pt>
                <c:pt idx="15">
                  <c:v>-2555329</c:v>
                </c:pt>
                <c:pt idx="16">
                  <c:v>-1925895</c:v>
                </c:pt>
                <c:pt idx="17">
                  <c:v>-1137885</c:v>
                </c:pt>
                <c:pt idx="18">
                  <c:v>-428992</c:v>
                </c:pt>
                <c:pt idx="19">
                  <c:v>-2711078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52-4714-B067-375F23088987}"/>
            </c:ext>
          </c:extLst>
        </c:ser>
        <c:ser>
          <c:idx val="2"/>
          <c:order val="2"/>
          <c:tx>
            <c:strRef>
              <c:f>'ES mixed'!$F$1</c:f>
              <c:strCache>
                <c:ptCount val="1"/>
                <c:pt idx="0">
                  <c:v> CoH haircut with new params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'ES mixed'!$C$2:$C$21</c:f>
              <c:strCache>
                <c:ptCount val="20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  <c:pt idx="9">
                  <c:v>portfolio 10</c:v>
                </c:pt>
                <c:pt idx="10">
                  <c:v>portfolio 11</c:v>
                </c:pt>
                <c:pt idx="11">
                  <c:v>portfolio 12</c:v>
                </c:pt>
                <c:pt idx="12">
                  <c:v>portfolio 13</c:v>
                </c:pt>
                <c:pt idx="13">
                  <c:v>portfolio 14</c:v>
                </c:pt>
                <c:pt idx="14">
                  <c:v>portfolio 15</c:v>
                </c:pt>
                <c:pt idx="15">
                  <c:v>portfolio 16</c:v>
                </c:pt>
                <c:pt idx="16">
                  <c:v>portfolio 17</c:v>
                </c:pt>
                <c:pt idx="17">
                  <c:v>portfolio 18</c:v>
                </c:pt>
                <c:pt idx="18">
                  <c:v>portfolio 19</c:v>
                </c:pt>
                <c:pt idx="19">
                  <c:v>portfolio 20</c:v>
                </c:pt>
              </c:strCache>
            </c:strRef>
          </c:cat>
          <c:val>
            <c:numRef>
              <c:f>'ES mixed'!$F$2:$F$21</c:f>
              <c:numCache>
                <c:formatCode>_-* #,##0.00_-;\-* #,##0.00_-;_-* "-"??_-;_-@_-</c:formatCode>
                <c:ptCount val="20"/>
                <c:pt idx="0" formatCode="#,##0">
                  <c:v>-2211625</c:v>
                </c:pt>
                <c:pt idx="1">
                  <c:v>-2506683</c:v>
                </c:pt>
                <c:pt idx="2">
                  <c:v>-1907596</c:v>
                </c:pt>
                <c:pt idx="3">
                  <c:v>-19237082</c:v>
                </c:pt>
                <c:pt idx="4">
                  <c:v>-10188485</c:v>
                </c:pt>
                <c:pt idx="5">
                  <c:v>-9389765</c:v>
                </c:pt>
                <c:pt idx="6">
                  <c:v>-1964768</c:v>
                </c:pt>
                <c:pt idx="7">
                  <c:v>-2350800</c:v>
                </c:pt>
                <c:pt idx="8">
                  <c:v>-1571187</c:v>
                </c:pt>
                <c:pt idx="9">
                  <c:v>-2474348</c:v>
                </c:pt>
                <c:pt idx="10">
                  <c:v>-2542436</c:v>
                </c:pt>
                <c:pt idx="11">
                  <c:v>-2573136</c:v>
                </c:pt>
                <c:pt idx="12">
                  <c:v>-16359554</c:v>
                </c:pt>
                <c:pt idx="13">
                  <c:v>-6414442</c:v>
                </c:pt>
                <c:pt idx="14" formatCode="#,##0.00">
                  <c:v>-1713825</c:v>
                </c:pt>
                <c:pt idx="15">
                  <c:v>-2408414</c:v>
                </c:pt>
                <c:pt idx="16">
                  <c:v>-1910163</c:v>
                </c:pt>
                <c:pt idx="17">
                  <c:v>-911483</c:v>
                </c:pt>
                <c:pt idx="18">
                  <c:v>-383256</c:v>
                </c:pt>
                <c:pt idx="19">
                  <c:v>-2527503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52-4714-B067-375F23088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038752"/>
        <c:axId val="1402046912"/>
      </c:lineChart>
      <c:catAx>
        <c:axId val="140203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46912"/>
        <c:crosses val="autoZero"/>
        <c:auto val="1"/>
        <c:lblAlgn val="ctr"/>
        <c:lblOffset val="100"/>
        <c:noMultiLvlLbl val="0"/>
      </c:catAx>
      <c:valAx>
        <c:axId val="140204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3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[ES_NQ_threeway comparison.xlsx]ES nonlinear!PivotTable2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SPX non</a:t>
            </a:r>
            <a:r>
              <a:rPr lang="en-GB" b="1" baseline="0"/>
              <a:t>-linear portfolios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 nonlinear'!$L$1</c:f>
              <c:strCache>
                <c:ptCount val="1"/>
                <c:pt idx="0">
                  <c:v>Average of CME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 nonlinear'!$K$2:$K$37</c:f>
              <c:strCache>
                <c:ptCount val="36"/>
                <c:pt idx="0">
                  <c:v>bearishcall03</c:v>
                </c:pt>
                <c:pt idx="1">
                  <c:v>bearishcall06</c:v>
                </c:pt>
                <c:pt idx="2">
                  <c:v>bearishcall09</c:v>
                </c:pt>
                <c:pt idx="3">
                  <c:v>bearishput03</c:v>
                </c:pt>
                <c:pt idx="4">
                  <c:v>bearishput06</c:v>
                </c:pt>
                <c:pt idx="5">
                  <c:v>bearishput09</c:v>
                </c:pt>
                <c:pt idx="6">
                  <c:v>bullishcall03</c:v>
                </c:pt>
                <c:pt idx="7">
                  <c:v>bullishcall06</c:v>
                </c:pt>
                <c:pt idx="8">
                  <c:v>bullishcall09</c:v>
                </c:pt>
                <c:pt idx="9">
                  <c:v>bullishput03</c:v>
                </c:pt>
                <c:pt idx="10">
                  <c:v>bullishput06</c:v>
                </c:pt>
                <c:pt idx="11">
                  <c:v>bullishput09</c:v>
                </c:pt>
                <c:pt idx="12">
                  <c:v>CS 06call 03call</c:v>
                </c:pt>
                <c:pt idx="13">
                  <c:v>CS 06call7450 03call6330</c:v>
                </c:pt>
                <c:pt idx="14">
                  <c:v>CS 06put 03put</c:v>
                </c:pt>
                <c:pt idx="15">
                  <c:v>CS 06put5900 03put5900</c:v>
                </c:pt>
                <c:pt idx="16">
                  <c:v>CS 09call 03call</c:v>
                </c:pt>
                <c:pt idx="17">
                  <c:v>CS 09call7200 03call7200</c:v>
                </c:pt>
                <c:pt idx="18">
                  <c:v>CS 12call 03call</c:v>
                </c:pt>
                <c:pt idx="19">
                  <c:v>CS 12put 09put</c:v>
                </c:pt>
                <c:pt idx="20">
                  <c:v>DS 03call 12call </c:v>
                </c:pt>
                <c:pt idx="21">
                  <c:v>DS 06call 03call</c:v>
                </c:pt>
                <c:pt idx="22">
                  <c:v>DS 09call 03 call</c:v>
                </c:pt>
                <c:pt idx="23">
                  <c:v>DS 09put 03 put </c:v>
                </c:pt>
                <c:pt idx="24">
                  <c:v>DS 09put 03put</c:v>
                </c:pt>
                <c:pt idx="25">
                  <c:v>DS 2703call 2603call </c:v>
                </c:pt>
                <c:pt idx="26">
                  <c:v>long straddle 2606</c:v>
                </c:pt>
                <c:pt idx="27">
                  <c:v>long straddle 2712</c:v>
                </c:pt>
                <c:pt idx="28">
                  <c:v>long straddle 2912</c:v>
                </c:pt>
                <c:pt idx="29">
                  <c:v>straddle 2606</c:v>
                </c:pt>
                <c:pt idx="30">
                  <c:v>straddle 2609</c:v>
                </c:pt>
                <c:pt idx="31">
                  <c:v>straddle 2706</c:v>
                </c:pt>
                <c:pt idx="32">
                  <c:v>straddle 2712</c:v>
                </c:pt>
                <c:pt idx="33">
                  <c:v>straddle 2912</c:v>
                </c:pt>
                <c:pt idx="34">
                  <c:v>strangle 2606</c:v>
                </c:pt>
                <c:pt idx="35">
                  <c:v>strangle 2612</c:v>
                </c:pt>
              </c:strCache>
            </c:strRef>
          </c:cat>
          <c:val>
            <c:numRef>
              <c:f>'ES nonlinear'!$L$2:$L$37</c:f>
              <c:numCache>
                <c:formatCode>#,##0.00</c:formatCode>
                <c:ptCount val="36"/>
                <c:pt idx="0">
                  <c:v>-23834.873333333333</c:v>
                </c:pt>
                <c:pt idx="1">
                  <c:v>-441098.53333333338</c:v>
                </c:pt>
                <c:pt idx="2">
                  <c:v>-106101.18333333333</c:v>
                </c:pt>
                <c:pt idx="3">
                  <c:v>0</c:v>
                </c:pt>
                <c:pt idx="4">
                  <c:v>0</c:v>
                </c:pt>
                <c:pt idx="5">
                  <c:v>-70829.776666666658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-69991.62999999999</c:v>
                </c:pt>
                <c:pt idx="10">
                  <c:v>-449181.41</c:v>
                </c:pt>
                <c:pt idx="11">
                  <c:v>-166893.41666666666</c:v>
                </c:pt>
                <c:pt idx="12">
                  <c:v>0</c:v>
                </c:pt>
                <c:pt idx="13">
                  <c:v>-4202638.22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-130563.37</c:v>
                </c:pt>
                <c:pt idx="20">
                  <c:v>-66030.03</c:v>
                </c:pt>
                <c:pt idx="21">
                  <c:v>-1206224.68</c:v>
                </c:pt>
                <c:pt idx="23">
                  <c:v>0</c:v>
                </c:pt>
                <c:pt idx="24">
                  <c:v>-1637842.605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D-4673-8A29-CDD90EF51487}"/>
            </c:ext>
          </c:extLst>
        </c:ser>
        <c:ser>
          <c:idx val="1"/>
          <c:order val="1"/>
          <c:tx>
            <c:strRef>
              <c:f>'ES nonlinear'!$M$1</c:f>
              <c:strCache>
                <c:ptCount val="1"/>
                <c:pt idx="0">
                  <c:v>Average of CoH haircut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 nonlinear'!$K$2:$K$37</c:f>
              <c:strCache>
                <c:ptCount val="36"/>
                <c:pt idx="0">
                  <c:v>bearishcall03</c:v>
                </c:pt>
                <c:pt idx="1">
                  <c:v>bearishcall06</c:v>
                </c:pt>
                <c:pt idx="2">
                  <c:v>bearishcall09</c:v>
                </c:pt>
                <c:pt idx="3">
                  <c:v>bearishput03</c:v>
                </c:pt>
                <c:pt idx="4">
                  <c:v>bearishput06</c:v>
                </c:pt>
                <c:pt idx="5">
                  <c:v>bearishput09</c:v>
                </c:pt>
                <c:pt idx="6">
                  <c:v>bullishcall03</c:v>
                </c:pt>
                <c:pt idx="7">
                  <c:v>bullishcall06</c:v>
                </c:pt>
                <c:pt idx="8">
                  <c:v>bullishcall09</c:v>
                </c:pt>
                <c:pt idx="9">
                  <c:v>bullishput03</c:v>
                </c:pt>
                <c:pt idx="10">
                  <c:v>bullishput06</c:v>
                </c:pt>
                <c:pt idx="11">
                  <c:v>bullishput09</c:v>
                </c:pt>
                <c:pt idx="12">
                  <c:v>CS 06call 03call</c:v>
                </c:pt>
                <c:pt idx="13">
                  <c:v>CS 06call7450 03call6330</c:v>
                </c:pt>
                <c:pt idx="14">
                  <c:v>CS 06put 03put</c:v>
                </c:pt>
                <c:pt idx="15">
                  <c:v>CS 06put5900 03put5900</c:v>
                </c:pt>
                <c:pt idx="16">
                  <c:v>CS 09call 03call</c:v>
                </c:pt>
                <c:pt idx="17">
                  <c:v>CS 09call7200 03call7200</c:v>
                </c:pt>
                <c:pt idx="18">
                  <c:v>CS 12call 03call</c:v>
                </c:pt>
                <c:pt idx="19">
                  <c:v>CS 12put 09put</c:v>
                </c:pt>
                <c:pt idx="20">
                  <c:v>DS 03call 12call </c:v>
                </c:pt>
                <c:pt idx="21">
                  <c:v>DS 06call 03call</c:v>
                </c:pt>
                <c:pt idx="22">
                  <c:v>DS 09call 03 call</c:v>
                </c:pt>
                <c:pt idx="23">
                  <c:v>DS 09put 03 put </c:v>
                </c:pt>
                <c:pt idx="24">
                  <c:v>DS 09put 03put</c:v>
                </c:pt>
                <c:pt idx="25">
                  <c:v>DS 2703call 2603call </c:v>
                </c:pt>
                <c:pt idx="26">
                  <c:v>long straddle 2606</c:v>
                </c:pt>
                <c:pt idx="27">
                  <c:v>long straddle 2712</c:v>
                </c:pt>
                <c:pt idx="28">
                  <c:v>long straddle 2912</c:v>
                </c:pt>
                <c:pt idx="29">
                  <c:v>straddle 2606</c:v>
                </c:pt>
                <c:pt idx="30">
                  <c:v>straddle 2609</c:v>
                </c:pt>
                <c:pt idx="31">
                  <c:v>straddle 2706</c:v>
                </c:pt>
                <c:pt idx="32">
                  <c:v>straddle 2712</c:v>
                </c:pt>
                <c:pt idx="33">
                  <c:v>straddle 2912</c:v>
                </c:pt>
                <c:pt idx="34">
                  <c:v>strangle 2606</c:v>
                </c:pt>
                <c:pt idx="35">
                  <c:v>strangle 2612</c:v>
                </c:pt>
              </c:strCache>
            </c:strRef>
          </c:cat>
          <c:val>
            <c:numRef>
              <c:f>'ES nonlinear'!$M$2:$M$37</c:f>
              <c:numCache>
                <c:formatCode>#,##0.00</c:formatCode>
                <c:ptCount val="36"/>
                <c:pt idx="0">
                  <c:v>-7986.666666666667</c:v>
                </c:pt>
                <c:pt idx="1">
                  <c:v>-88013</c:v>
                </c:pt>
                <c:pt idx="2">
                  <c:v>-27354</c:v>
                </c:pt>
                <c:pt idx="3">
                  <c:v>-20663.333333333332</c:v>
                </c:pt>
                <c:pt idx="4">
                  <c:v>-70936</c:v>
                </c:pt>
                <c:pt idx="5">
                  <c:v>-59721.333333333336</c:v>
                </c:pt>
                <c:pt idx="6">
                  <c:v>-73241.333333333328</c:v>
                </c:pt>
                <c:pt idx="7">
                  <c:v>-198184.66666666666</c:v>
                </c:pt>
                <c:pt idx="8">
                  <c:v>-150941.33333333334</c:v>
                </c:pt>
                <c:pt idx="9">
                  <c:v>-43723.333333333336</c:v>
                </c:pt>
                <c:pt idx="10">
                  <c:v>-236524.66666666666</c:v>
                </c:pt>
                <c:pt idx="11">
                  <c:v>-77654</c:v>
                </c:pt>
                <c:pt idx="12">
                  <c:v>-293595</c:v>
                </c:pt>
                <c:pt idx="13">
                  <c:v>-333894</c:v>
                </c:pt>
                <c:pt idx="14">
                  <c:v>-190310</c:v>
                </c:pt>
                <c:pt idx="15">
                  <c:v>-161287</c:v>
                </c:pt>
                <c:pt idx="16">
                  <c:v>-885335</c:v>
                </c:pt>
                <c:pt idx="17">
                  <c:v>-834067</c:v>
                </c:pt>
                <c:pt idx="18">
                  <c:v>-569964</c:v>
                </c:pt>
                <c:pt idx="19">
                  <c:v>-243304</c:v>
                </c:pt>
                <c:pt idx="20">
                  <c:v>-648988</c:v>
                </c:pt>
                <c:pt idx="21">
                  <c:v>-421079.5</c:v>
                </c:pt>
                <c:pt idx="22">
                  <c:v>-661555</c:v>
                </c:pt>
                <c:pt idx="23">
                  <c:v>-1348468</c:v>
                </c:pt>
                <c:pt idx="24">
                  <c:v>-1055049</c:v>
                </c:pt>
                <c:pt idx="25">
                  <c:v>-611693</c:v>
                </c:pt>
                <c:pt idx="26">
                  <c:v>-1047343</c:v>
                </c:pt>
                <c:pt idx="27">
                  <c:v>-727703</c:v>
                </c:pt>
                <c:pt idx="28">
                  <c:v>-794811</c:v>
                </c:pt>
                <c:pt idx="29">
                  <c:v>-968146.5</c:v>
                </c:pt>
                <c:pt idx="30">
                  <c:v>-327884</c:v>
                </c:pt>
                <c:pt idx="31">
                  <c:v>-877695</c:v>
                </c:pt>
                <c:pt idx="32">
                  <c:v>-2669560</c:v>
                </c:pt>
                <c:pt idx="33">
                  <c:v>-1937864.5</c:v>
                </c:pt>
                <c:pt idx="34">
                  <c:v>-171141</c:v>
                </c:pt>
                <c:pt idx="35">
                  <c:v>-307545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D-4673-8A29-CDD90EF51487}"/>
            </c:ext>
          </c:extLst>
        </c:ser>
        <c:ser>
          <c:idx val="2"/>
          <c:order val="2"/>
          <c:tx>
            <c:strRef>
              <c:f>'ES nonlinear'!$N$1</c:f>
              <c:strCache>
                <c:ptCount val="1"/>
                <c:pt idx="0">
                  <c:v>Average of CoH haircut with new params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'ES nonlinear'!$K$2:$K$37</c:f>
              <c:strCache>
                <c:ptCount val="36"/>
                <c:pt idx="0">
                  <c:v>bearishcall03</c:v>
                </c:pt>
                <c:pt idx="1">
                  <c:v>bearishcall06</c:v>
                </c:pt>
                <c:pt idx="2">
                  <c:v>bearishcall09</c:v>
                </c:pt>
                <c:pt idx="3">
                  <c:v>bearishput03</c:v>
                </c:pt>
                <c:pt idx="4">
                  <c:v>bearishput06</c:v>
                </c:pt>
                <c:pt idx="5">
                  <c:v>bearishput09</c:v>
                </c:pt>
                <c:pt idx="6">
                  <c:v>bullishcall03</c:v>
                </c:pt>
                <c:pt idx="7">
                  <c:v>bullishcall06</c:v>
                </c:pt>
                <c:pt idx="8">
                  <c:v>bullishcall09</c:v>
                </c:pt>
                <c:pt idx="9">
                  <c:v>bullishput03</c:v>
                </c:pt>
                <c:pt idx="10">
                  <c:v>bullishput06</c:v>
                </c:pt>
                <c:pt idx="11">
                  <c:v>bullishput09</c:v>
                </c:pt>
                <c:pt idx="12">
                  <c:v>CS 06call 03call</c:v>
                </c:pt>
                <c:pt idx="13">
                  <c:v>CS 06call7450 03call6330</c:v>
                </c:pt>
                <c:pt idx="14">
                  <c:v>CS 06put 03put</c:v>
                </c:pt>
                <c:pt idx="15">
                  <c:v>CS 06put5900 03put5900</c:v>
                </c:pt>
                <c:pt idx="16">
                  <c:v>CS 09call 03call</c:v>
                </c:pt>
                <c:pt idx="17">
                  <c:v>CS 09call7200 03call7200</c:v>
                </c:pt>
                <c:pt idx="18">
                  <c:v>CS 12call 03call</c:v>
                </c:pt>
                <c:pt idx="19">
                  <c:v>CS 12put 09put</c:v>
                </c:pt>
                <c:pt idx="20">
                  <c:v>DS 03call 12call </c:v>
                </c:pt>
                <c:pt idx="21">
                  <c:v>DS 06call 03call</c:v>
                </c:pt>
                <c:pt idx="22">
                  <c:v>DS 09call 03 call</c:v>
                </c:pt>
                <c:pt idx="23">
                  <c:v>DS 09put 03 put </c:v>
                </c:pt>
                <c:pt idx="24">
                  <c:v>DS 09put 03put</c:v>
                </c:pt>
                <c:pt idx="25">
                  <c:v>DS 2703call 2603call </c:v>
                </c:pt>
                <c:pt idx="26">
                  <c:v>long straddle 2606</c:v>
                </c:pt>
                <c:pt idx="27">
                  <c:v>long straddle 2712</c:v>
                </c:pt>
                <c:pt idx="28">
                  <c:v>long straddle 2912</c:v>
                </c:pt>
                <c:pt idx="29">
                  <c:v>straddle 2606</c:v>
                </c:pt>
                <c:pt idx="30">
                  <c:v>straddle 2609</c:v>
                </c:pt>
                <c:pt idx="31">
                  <c:v>straddle 2706</c:v>
                </c:pt>
                <c:pt idx="32">
                  <c:v>straddle 2712</c:v>
                </c:pt>
                <c:pt idx="33">
                  <c:v>straddle 2912</c:v>
                </c:pt>
                <c:pt idx="34">
                  <c:v>strangle 2606</c:v>
                </c:pt>
                <c:pt idx="35">
                  <c:v>strangle 2612</c:v>
                </c:pt>
              </c:strCache>
            </c:strRef>
          </c:cat>
          <c:val>
            <c:numRef>
              <c:f>'ES nonlinear'!$N$2:$N$37</c:f>
              <c:numCache>
                <c:formatCode>#,##0.00</c:formatCode>
                <c:ptCount val="36"/>
                <c:pt idx="0">
                  <c:v>-7600.333333333333</c:v>
                </c:pt>
                <c:pt idx="1">
                  <c:v>-82313</c:v>
                </c:pt>
                <c:pt idx="2">
                  <c:v>-26131.333333333332</c:v>
                </c:pt>
                <c:pt idx="3">
                  <c:v>-19703.666666666668</c:v>
                </c:pt>
                <c:pt idx="4">
                  <c:v>-66455</c:v>
                </c:pt>
                <c:pt idx="5">
                  <c:v>-56886</c:v>
                </c:pt>
                <c:pt idx="6">
                  <c:v>-72890</c:v>
                </c:pt>
                <c:pt idx="7">
                  <c:v>-192486</c:v>
                </c:pt>
                <c:pt idx="8">
                  <c:v>-142404.66666666666</c:v>
                </c:pt>
                <c:pt idx="9">
                  <c:v>-44050.666666666664</c:v>
                </c:pt>
                <c:pt idx="10">
                  <c:v>-229761.33333333334</c:v>
                </c:pt>
                <c:pt idx="11">
                  <c:v>-73538.333333333328</c:v>
                </c:pt>
                <c:pt idx="12">
                  <c:v>-268949</c:v>
                </c:pt>
                <c:pt idx="14">
                  <c:v>-177657</c:v>
                </c:pt>
                <c:pt idx="15">
                  <c:v>-148016</c:v>
                </c:pt>
                <c:pt idx="16">
                  <c:v>-868408</c:v>
                </c:pt>
                <c:pt idx="17">
                  <c:v>-815406</c:v>
                </c:pt>
                <c:pt idx="18">
                  <c:v>-564345.5</c:v>
                </c:pt>
                <c:pt idx="19">
                  <c:v>-233613</c:v>
                </c:pt>
                <c:pt idx="20">
                  <c:v>-619853</c:v>
                </c:pt>
                <c:pt idx="21">
                  <c:v>-392347.5</c:v>
                </c:pt>
                <c:pt idx="22">
                  <c:v>-658840</c:v>
                </c:pt>
                <c:pt idx="24">
                  <c:v>-1005078</c:v>
                </c:pt>
                <c:pt idx="25">
                  <c:v>587508</c:v>
                </c:pt>
                <c:pt idx="26">
                  <c:v>-942894</c:v>
                </c:pt>
                <c:pt idx="27">
                  <c:v>-698894</c:v>
                </c:pt>
                <c:pt idx="28">
                  <c:v>-787011</c:v>
                </c:pt>
                <c:pt idx="29">
                  <c:v>-979514.5</c:v>
                </c:pt>
                <c:pt idx="30">
                  <c:v>-290453</c:v>
                </c:pt>
                <c:pt idx="31">
                  <c:v>-890830</c:v>
                </c:pt>
                <c:pt idx="32">
                  <c:v>-2485748.5</c:v>
                </c:pt>
                <c:pt idx="33">
                  <c:v>-1871011</c:v>
                </c:pt>
                <c:pt idx="34">
                  <c:v>-157523</c:v>
                </c:pt>
                <c:pt idx="35">
                  <c:v>-288711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BD-4673-8A29-CDD90EF51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772751"/>
        <c:axId val="1635796751"/>
      </c:barChart>
      <c:catAx>
        <c:axId val="1635772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96751"/>
        <c:crosses val="autoZero"/>
        <c:auto val="1"/>
        <c:lblAlgn val="ctr"/>
        <c:lblOffset val="100"/>
        <c:noMultiLvlLbl val="0"/>
      </c:catAx>
      <c:valAx>
        <c:axId val="163579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77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 non-linear portfolios (bar chart)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 nonlinear'!$D$1</c:f>
              <c:strCache>
                <c:ptCount val="1"/>
                <c:pt idx="0">
                  <c:v> CME margin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'ES nonlinear'!$C$2:$C$67</c:f>
              <c:strCache>
                <c:ptCount val="66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  <c:pt idx="62">
                  <c:v>portfolio63</c:v>
                </c:pt>
                <c:pt idx="63">
                  <c:v>portfolio64</c:v>
                </c:pt>
                <c:pt idx="64">
                  <c:v>portfolio65</c:v>
                </c:pt>
                <c:pt idx="65">
                  <c:v>portfolio66</c:v>
                </c:pt>
              </c:strCache>
            </c:strRef>
          </c:cat>
          <c:val>
            <c:numRef>
              <c:f>'ES nonlinear'!$D$2:$D$67</c:f>
              <c:numCache>
                <c:formatCode>_-* #,##0.00_-;\-* #,##0.00_-;_-* "-"??_-;_-@_-</c:formatCode>
                <c:ptCount val="66"/>
                <c:pt idx="0">
                  <c:v>-24321.11</c:v>
                </c:pt>
                <c:pt idx="1">
                  <c:v>-224159.12</c:v>
                </c:pt>
                <c:pt idx="2">
                  <c:v>-109260.23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-93063.84</c:v>
                </c:pt>
                <c:pt idx="10">
                  <c:v>-373414.41</c:v>
                </c:pt>
                <c:pt idx="11">
                  <c:v>-168184.63</c:v>
                </c:pt>
                <c:pt idx="12">
                  <c:v>-4202638.22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-66030.03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-23924.68</c:v>
                </c:pt>
                <c:pt idx="22">
                  <c:v>-882945.69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-212489.33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-69305.08</c:v>
                </c:pt>
                <c:pt idx="31">
                  <c:v>-772512.1</c:v>
                </c:pt>
                <c:pt idx="32">
                  <c:v>-169228.08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-600201.75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-23258.83</c:v>
                </c:pt>
                <c:pt idx="45">
                  <c:v>-216190.79</c:v>
                </c:pt>
                <c:pt idx="46">
                  <c:v>-209043.32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-47605.97</c:v>
                </c:pt>
                <c:pt idx="54">
                  <c:v>-201617.72</c:v>
                </c:pt>
                <c:pt idx="55">
                  <c:v>-163267.54</c:v>
                </c:pt>
                <c:pt idx="56">
                  <c:v>-130563.37</c:v>
                </c:pt>
                <c:pt idx="57">
                  <c:v>0</c:v>
                </c:pt>
                <c:pt idx="58">
                  <c:v>0</c:v>
                </c:pt>
                <c:pt idx="59">
                  <c:v>-2675483.46</c:v>
                </c:pt>
                <c:pt idx="60">
                  <c:v>-376341.2</c:v>
                </c:pt>
                <c:pt idx="61">
                  <c:v>-2036108.16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6-4D20-B6AA-97DEF6FE815A}"/>
            </c:ext>
          </c:extLst>
        </c:ser>
        <c:ser>
          <c:idx val="1"/>
          <c:order val="1"/>
          <c:tx>
            <c:strRef>
              <c:f>'ES nonlinear'!$E$1</c:f>
              <c:strCache>
                <c:ptCount val="1"/>
                <c:pt idx="0">
                  <c:v> CoH haircut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'ES nonlinear'!$C$2:$C$67</c:f>
              <c:strCache>
                <c:ptCount val="66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  <c:pt idx="62">
                  <c:v>portfolio63</c:v>
                </c:pt>
                <c:pt idx="63">
                  <c:v>portfolio64</c:v>
                </c:pt>
                <c:pt idx="64">
                  <c:v>portfolio65</c:v>
                </c:pt>
                <c:pt idx="65">
                  <c:v>portfolio66</c:v>
                </c:pt>
              </c:strCache>
            </c:strRef>
          </c:cat>
          <c:val>
            <c:numRef>
              <c:f>'ES nonlinear'!$E$2:$E$67</c:f>
              <c:numCache>
                <c:formatCode>_-* #,##0.00_-;\-* #,##0.00_-;_-* "-"??_-;_-@_-</c:formatCode>
                <c:ptCount val="66"/>
                <c:pt idx="0">
                  <c:v>-7569</c:v>
                </c:pt>
                <c:pt idx="1">
                  <c:v>-38020</c:v>
                </c:pt>
                <c:pt idx="2">
                  <c:v>-14654</c:v>
                </c:pt>
                <c:pt idx="3">
                  <c:v>-21770</c:v>
                </c:pt>
                <c:pt idx="4">
                  <c:v>-40306</c:v>
                </c:pt>
                <c:pt idx="5">
                  <c:v>-32946</c:v>
                </c:pt>
                <c:pt idx="6">
                  <c:v>-61841</c:v>
                </c:pt>
                <c:pt idx="7">
                  <c:v>-98491</c:v>
                </c:pt>
                <c:pt idx="8">
                  <c:v>-157722</c:v>
                </c:pt>
                <c:pt idx="9">
                  <c:v>-59174</c:v>
                </c:pt>
                <c:pt idx="10">
                  <c:v>-211742</c:v>
                </c:pt>
                <c:pt idx="11">
                  <c:v>-80039</c:v>
                </c:pt>
                <c:pt idx="12">
                  <c:v>-333894</c:v>
                </c:pt>
                <c:pt idx="13">
                  <c:v>-161287</c:v>
                </c:pt>
                <c:pt idx="14">
                  <c:v>-834067</c:v>
                </c:pt>
                <c:pt idx="15">
                  <c:v>-1348468</c:v>
                </c:pt>
                <c:pt idx="16">
                  <c:v>-611693</c:v>
                </c:pt>
                <c:pt idx="17">
                  <c:v>-648988</c:v>
                </c:pt>
                <c:pt idx="18">
                  <c:v>-794811</c:v>
                </c:pt>
                <c:pt idx="19">
                  <c:v>-727703</c:v>
                </c:pt>
                <c:pt idx="20">
                  <c:v>-1047343</c:v>
                </c:pt>
                <c:pt idx="21" formatCode="#,##0">
                  <c:v>-7891</c:v>
                </c:pt>
                <c:pt idx="22">
                  <c:v>-178795</c:v>
                </c:pt>
                <c:pt idx="23">
                  <c:v>-32947</c:v>
                </c:pt>
                <c:pt idx="24">
                  <c:v>-31746</c:v>
                </c:pt>
                <c:pt idx="25">
                  <c:v>-88206</c:v>
                </c:pt>
                <c:pt idx="26">
                  <c:v>-48034</c:v>
                </c:pt>
                <c:pt idx="27">
                  <c:v>-86217</c:v>
                </c:pt>
                <c:pt idx="28">
                  <c:v>-395660</c:v>
                </c:pt>
                <c:pt idx="29">
                  <c:v>-76034</c:v>
                </c:pt>
                <c:pt idx="30">
                  <c:v>-43393</c:v>
                </c:pt>
                <c:pt idx="31">
                  <c:v>-399270</c:v>
                </c:pt>
                <c:pt idx="32">
                  <c:v>-77027</c:v>
                </c:pt>
                <c:pt idx="33">
                  <c:v>-885335</c:v>
                </c:pt>
                <c:pt idx="34">
                  <c:v>-665340</c:v>
                </c:pt>
                <c:pt idx="35">
                  <c:v>-293595</c:v>
                </c:pt>
                <c:pt idx="36">
                  <c:v>-661555</c:v>
                </c:pt>
                <c:pt idx="37">
                  <c:v>-273065</c:v>
                </c:pt>
                <c:pt idx="38">
                  <c:v>-171141</c:v>
                </c:pt>
                <c:pt idx="39">
                  <c:v>-2578498</c:v>
                </c:pt>
                <c:pt idx="40">
                  <c:v>-1924050</c:v>
                </c:pt>
                <c:pt idx="41">
                  <c:v>-327884</c:v>
                </c:pt>
                <c:pt idx="42">
                  <c:v>-171141</c:v>
                </c:pt>
                <c:pt idx="43">
                  <c:v>-307545</c:v>
                </c:pt>
                <c:pt idx="44">
                  <c:v>-8500</c:v>
                </c:pt>
                <c:pt idx="45">
                  <c:v>-47224</c:v>
                </c:pt>
                <c:pt idx="46">
                  <c:v>-34461</c:v>
                </c:pt>
                <c:pt idx="47">
                  <c:v>-8474</c:v>
                </c:pt>
                <c:pt idx="48">
                  <c:v>-84296</c:v>
                </c:pt>
                <c:pt idx="49">
                  <c:v>-98184</c:v>
                </c:pt>
                <c:pt idx="50">
                  <c:v>-71666</c:v>
                </c:pt>
                <c:pt idx="51">
                  <c:v>-100403</c:v>
                </c:pt>
                <c:pt idx="52">
                  <c:v>-219068</c:v>
                </c:pt>
                <c:pt idx="53">
                  <c:v>-28603</c:v>
                </c:pt>
                <c:pt idx="54">
                  <c:v>-98562</c:v>
                </c:pt>
                <c:pt idx="55">
                  <c:v>-75896</c:v>
                </c:pt>
                <c:pt idx="56">
                  <c:v>-243304</c:v>
                </c:pt>
                <c:pt idx="57">
                  <c:v>-190310</c:v>
                </c:pt>
                <c:pt idx="58">
                  <c:v>-474588</c:v>
                </c:pt>
                <c:pt idx="59">
                  <c:v>-1837033</c:v>
                </c:pt>
                <c:pt idx="60">
                  <c:v>-19283</c:v>
                </c:pt>
                <c:pt idx="61">
                  <c:v>-822876</c:v>
                </c:pt>
                <c:pt idx="62">
                  <c:v>-1765152</c:v>
                </c:pt>
                <c:pt idx="63">
                  <c:v>-1951679</c:v>
                </c:pt>
                <c:pt idx="64">
                  <c:v>-877695</c:v>
                </c:pt>
                <c:pt idx="65">
                  <c:v>-2760622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6-4D20-B6AA-97DEF6FE815A}"/>
            </c:ext>
          </c:extLst>
        </c:ser>
        <c:ser>
          <c:idx val="2"/>
          <c:order val="2"/>
          <c:tx>
            <c:strRef>
              <c:f>'ES nonlinear'!$F$1</c:f>
              <c:strCache>
                <c:ptCount val="1"/>
                <c:pt idx="0">
                  <c:v> CoH haircut with new params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'ES nonlinear'!$C$2:$C$67</c:f>
              <c:strCache>
                <c:ptCount val="66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  <c:pt idx="62">
                  <c:v>portfolio63</c:v>
                </c:pt>
                <c:pt idx="63">
                  <c:v>portfolio64</c:v>
                </c:pt>
                <c:pt idx="64">
                  <c:v>portfolio65</c:v>
                </c:pt>
                <c:pt idx="65">
                  <c:v>portfolio66</c:v>
                </c:pt>
              </c:strCache>
            </c:strRef>
          </c:cat>
          <c:val>
            <c:numRef>
              <c:f>'ES nonlinear'!$F$2:$F$67</c:f>
              <c:numCache>
                <c:formatCode>_-* #,##0.00_-;\-* #,##0.00_-;_-* "-"??_-;_-@_-</c:formatCode>
                <c:ptCount val="66"/>
                <c:pt idx="0">
                  <c:v>-7312</c:v>
                </c:pt>
                <c:pt idx="1">
                  <c:v>-37053</c:v>
                </c:pt>
                <c:pt idx="2">
                  <c:v>-14623</c:v>
                </c:pt>
                <c:pt idx="3">
                  <c:v>-21041</c:v>
                </c:pt>
                <c:pt idx="4">
                  <c:v>-39302</c:v>
                </c:pt>
                <c:pt idx="5">
                  <c:v>-32674</c:v>
                </c:pt>
                <c:pt idx="6">
                  <c:v>-62159</c:v>
                </c:pt>
                <c:pt idx="7">
                  <c:v>-100054</c:v>
                </c:pt>
                <c:pt idx="8">
                  <c:v>-154523</c:v>
                </c:pt>
                <c:pt idx="9">
                  <c:v>-60939</c:v>
                </c:pt>
                <c:pt idx="10">
                  <c:v>-213423</c:v>
                </c:pt>
                <c:pt idx="11">
                  <c:v>-78674</c:v>
                </c:pt>
                <c:pt idx="12">
                  <c:v>-339597</c:v>
                </c:pt>
                <c:pt idx="13">
                  <c:v>-159083</c:v>
                </c:pt>
                <c:pt idx="14">
                  <c:v>-869518</c:v>
                </c:pt>
                <c:pt idx="15">
                  <c:v>-1312128</c:v>
                </c:pt>
                <c:pt idx="16">
                  <c:v>-642283</c:v>
                </c:pt>
                <c:pt idx="17">
                  <c:v>-675766</c:v>
                </c:pt>
                <c:pt idx="18">
                  <c:v>-963610</c:v>
                </c:pt>
                <c:pt idx="19">
                  <c:v>-865196</c:v>
                </c:pt>
                <c:pt idx="20">
                  <c:v>-1037910</c:v>
                </c:pt>
                <c:pt idx="21">
                  <c:v>-7681</c:v>
                </c:pt>
                <c:pt idx="22">
                  <c:v>-174800</c:v>
                </c:pt>
                <c:pt idx="23">
                  <c:v>-32834</c:v>
                </c:pt>
                <c:pt idx="24">
                  <c:v>-30908</c:v>
                </c:pt>
                <c:pt idx="25">
                  <c:v>-86266</c:v>
                </c:pt>
                <c:pt idx="26">
                  <c:v>-47906</c:v>
                </c:pt>
                <c:pt idx="27">
                  <c:v>-88159</c:v>
                </c:pt>
                <c:pt idx="28">
                  <c:v>-401054</c:v>
                </c:pt>
                <c:pt idx="29">
                  <c:v>-74921</c:v>
                </c:pt>
                <c:pt idx="30">
                  <c:v>-44833</c:v>
                </c:pt>
                <c:pt idx="31">
                  <c:v>-405387</c:v>
                </c:pt>
                <c:pt idx="32">
                  <c:v>-76002</c:v>
                </c:pt>
                <c:pt idx="33">
                  <c:v>-926395</c:v>
                </c:pt>
                <c:pt idx="34">
                  <c:v>-707498</c:v>
                </c:pt>
                <c:pt idx="35">
                  <c:v>-289351</c:v>
                </c:pt>
                <c:pt idx="36">
                  <c:v>-705462</c:v>
                </c:pt>
                <c:pt idx="37">
                  <c:v>-280726</c:v>
                </c:pt>
                <c:pt idx="38">
                  <c:v>-378064</c:v>
                </c:pt>
                <c:pt idx="39">
                  <c:v>-2448264</c:v>
                </c:pt>
                <c:pt idx="40">
                  <c:v>-1934783</c:v>
                </c:pt>
                <c:pt idx="41">
                  <c:v>-417028</c:v>
                </c:pt>
                <c:pt idx="42">
                  <c:v>-169585</c:v>
                </c:pt>
                <c:pt idx="43">
                  <c:v>-425739</c:v>
                </c:pt>
                <c:pt idx="44">
                  <c:v>-8238</c:v>
                </c:pt>
                <c:pt idx="45">
                  <c:v>-46302</c:v>
                </c:pt>
                <c:pt idx="46">
                  <c:v>-34411</c:v>
                </c:pt>
                <c:pt idx="47">
                  <c:v>-8214</c:v>
                </c:pt>
                <c:pt idx="48">
                  <c:v>-82760</c:v>
                </c:pt>
                <c:pt idx="49">
                  <c:v>-98225</c:v>
                </c:pt>
                <c:pt idx="50">
                  <c:v>-73821</c:v>
                </c:pt>
                <c:pt idx="51">
                  <c:v>-101825</c:v>
                </c:pt>
                <c:pt idx="52">
                  <c:v>-213489</c:v>
                </c:pt>
                <c:pt idx="53">
                  <c:v>-29539</c:v>
                </c:pt>
                <c:pt idx="54">
                  <c:v>-100638</c:v>
                </c:pt>
                <c:pt idx="55">
                  <c:v>-74554</c:v>
                </c:pt>
                <c:pt idx="56">
                  <c:v>-252137</c:v>
                </c:pt>
                <c:pt idx="57">
                  <c:v>-189341</c:v>
                </c:pt>
                <c:pt idx="58">
                  <c:v>-514006</c:v>
                </c:pt>
                <c:pt idx="59">
                  <c:v>-1827322</c:v>
                </c:pt>
                <c:pt idx="60" formatCode="#,##0">
                  <c:v>-20360</c:v>
                </c:pt>
                <c:pt idx="61">
                  <c:v>-810166</c:v>
                </c:pt>
                <c:pt idx="62">
                  <c:v>-1700914</c:v>
                </c:pt>
                <c:pt idx="63">
                  <c:v>-1959404</c:v>
                </c:pt>
                <c:pt idx="64">
                  <c:v>-1028917</c:v>
                </c:pt>
                <c:pt idx="65">
                  <c:v>-2566077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6-4D20-B6AA-97DEF6FE8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765168"/>
        <c:axId val="1116763248"/>
      </c:barChart>
      <c:catAx>
        <c:axId val="111676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63248"/>
        <c:crosses val="autoZero"/>
        <c:auto val="1"/>
        <c:lblAlgn val="ctr"/>
        <c:lblOffset val="100"/>
        <c:noMultiLvlLbl val="0"/>
      </c:catAx>
      <c:valAx>
        <c:axId val="111676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6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</a:t>
            </a:r>
            <a:r>
              <a:rPr lang="en-US" baseline="0"/>
              <a:t> non-linear portfolios (line chart)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'ES nonlinear'!$D$1</c:f>
              <c:strCache>
                <c:ptCount val="1"/>
                <c:pt idx="0">
                  <c:v> CME margin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'ES nonlinear'!$C$2:$C$67</c:f>
              <c:strCache>
                <c:ptCount val="66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  <c:pt idx="62">
                  <c:v>portfolio63</c:v>
                </c:pt>
                <c:pt idx="63">
                  <c:v>portfolio64</c:v>
                </c:pt>
                <c:pt idx="64">
                  <c:v>portfolio65</c:v>
                </c:pt>
                <c:pt idx="65">
                  <c:v>portfolio66</c:v>
                </c:pt>
              </c:strCache>
            </c:strRef>
          </c:cat>
          <c:val>
            <c:numRef>
              <c:f>'ES nonlinear'!$D$2:$D$67</c:f>
              <c:numCache>
                <c:formatCode>_-* #,##0.00_-;\-* #,##0.00_-;_-* "-"??_-;_-@_-</c:formatCode>
                <c:ptCount val="66"/>
                <c:pt idx="0">
                  <c:v>-24321.11</c:v>
                </c:pt>
                <c:pt idx="1">
                  <c:v>-224159.12</c:v>
                </c:pt>
                <c:pt idx="2">
                  <c:v>-109260.23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-93063.84</c:v>
                </c:pt>
                <c:pt idx="10">
                  <c:v>-373414.41</c:v>
                </c:pt>
                <c:pt idx="11">
                  <c:v>-168184.63</c:v>
                </c:pt>
                <c:pt idx="12">
                  <c:v>-4202638.22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-66030.03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-23924.68</c:v>
                </c:pt>
                <c:pt idx="22">
                  <c:v>-882945.69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-212489.33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-69305.08</c:v>
                </c:pt>
                <c:pt idx="31">
                  <c:v>-772512.1</c:v>
                </c:pt>
                <c:pt idx="32">
                  <c:v>-169228.08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-600201.75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-23258.83</c:v>
                </c:pt>
                <c:pt idx="45">
                  <c:v>-216190.79</c:v>
                </c:pt>
                <c:pt idx="46">
                  <c:v>-209043.32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-47605.97</c:v>
                </c:pt>
                <c:pt idx="54">
                  <c:v>-201617.72</c:v>
                </c:pt>
                <c:pt idx="55">
                  <c:v>-163267.54</c:v>
                </c:pt>
                <c:pt idx="56">
                  <c:v>-130563.37</c:v>
                </c:pt>
                <c:pt idx="57">
                  <c:v>0</c:v>
                </c:pt>
                <c:pt idx="58">
                  <c:v>0</c:v>
                </c:pt>
                <c:pt idx="59">
                  <c:v>-2675483.46</c:v>
                </c:pt>
                <c:pt idx="60">
                  <c:v>-376341.2</c:v>
                </c:pt>
                <c:pt idx="61">
                  <c:v>-2036108.16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5-4E52-BB0F-1958072767A1}"/>
            </c:ext>
          </c:extLst>
        </c:ser>
        <c:ser>
          <c:idx val="1"/>
          <c:order val="1"/>
          <c:tx>
            <c:strRef>
              <c:f>'ES nonlinear'!$E$1</c:f>
              <c:strCache>
                <c:ptCount val="1"/>
                <c:pt idx="0">
                  <c:v> CoH haircut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'ES nonlinear'!$C$2:$C$67</c:f>
              <c:strCache>
                <c:ptCount val="66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  <c:pt idx="62">
                  <c:v>portfolio63</c:v>
                </c:pt>
                <c:pt idx="63">
                  <c:v>portfolio64</c:v>
                </c:pt>
                <c:pt idx="64">
                  <c:v>portfolio65</c:v>
                </c:pt>
                <c:pt idx="65">
                  <c:v>portfolio66</c:v>
                </c:pt>
              </c:strCache>
            </c:strRef>
          </c:cat>
          <c:val>
            <c:numRef>
              <c:f>'ES nonlinear'!$E$2:$E$67</c:f>
              <c:numCache>
                <c:formatCode>_-* #,##0.00_-;\-* #,##0.00_-;_-* "-"??_-;_-@_-</c:formatCode>
                <c:ptCount val="66"/>
                <c:pt idx="0">
                  <c:v>-7569</c:v>
                </c:pt>
                <c:pt idx="1">
                  <c:v>-38020</c:v>
                </c:pt>
                <c:pt idx="2">
                  <c:v>-14654</c:v>
                </c:pt>
                <c:pt idx="3">
                  <c:v>-21770</c:v>
                </c:pt>
                <c:pt idx="4">
                  <c:v>-40306</c:v>
                </c:pt>
                <c:pt idx="5">
                  <c:v>-32946</c:v>
                </c:pt>
                <c:pt idx="6">
                  <c:v>-61841</c:v>
                </c:pt>
                <c:pt idx="7">
                  <c:v>-98491</c:v>
                </c:pt>
                <c:pt idx="8">
                  <c:v>-157722</c:v>
                </c:pt>
                <c:pt idx="9">
                  <c:v>-59174</c:v>
                </c:pt>
                <c:pt idx="10">
                  <c:v>-211742</c:v>
                </c:pt>
                <c:pt idx="11">
                  <c:v>-80039</c:v>
                </c:pt>
                <c:pt idx="12">
                  <c:v>-333894</c:v>
                </c:pt>
                <c:pt idx="13">
                  <c:v>-161287</c:v>
                </c:pt>
                <c:pt idx="14">
                  <c:v>-834067</c:v>
                </c:pt>
                <c:pt idx="15">
                  <c:v>-1348468</c:v>
                </c:pt>
                <c:pt idx="16">
                  <c:v>-611693</c:v>
                </c:pt>
                <c:pt idx="17">
                  <c:v>-648988</c:v>
                </c:pt>
                <c:pt idx="18">
                  <c:v>-794811</c:v>
                </c:pt>
                <c:pt idx="19">
                  <c:v>-727703</c:v>
                </c:pt>
                <c:pt idx="20">
                  <c:v>-1047343</c:v>
                </c:pt>
                <c:pt idx="21" formatCode="#,##0">
                  <c:v>-7891</c:v>
                </c:pt>
                <c:pt idx="22">
                  <c:v>-178795</c:v>
                </c:pt>
                <c:pt idx="23">
                  <c:v>-32947</c:v>
                </c:pt>
                <c:pt idx="24">
                  <c:v>-31746</c:v>
                </c:pt>
                <c:pt idx="25">
                  <c:v>-88206</c:v>
                </c:pt>
                <c:pt idx="26">
                  <c:v>-48034</c:v>
                </c:pt>
                <c:pt idx="27">
                  <c:v>-86217</c:v>
                </c:pt>
                <c:pt idx="28">
                  <c:v>-395660</c:v>
                </c:pt>
                <c:pt idx="29">
                  <c:v>-76034</c:v>
                </c:pt>
                <c:pt idx="30">
                  <c:v>-43393</c:v>
                </c:pt>
                <c:pt idx="31">
                  <c:v>-399270</c:v>
                </c:pt>
                <c:pt idx="32">
                  <c:v>-77027</c:v>
                </c:pt>
                <c:pt idx="33">
                  <c:v>-885335</c:v>
                </c:pt>
                <c:pt idx="34">
                  <c:v>-665340</c:v>
                </c:pt>
                <c:pt idx="35">
                  <c:v>-293595</c:v>
                </c:pt>
                <c:pt idx="36">
                  <c:v>-661555</c:v>
                </c:pt>
                <c:pt idx="37">
                  <c:v>-273065</c:v>
                </c:pt>
                <c:pt idx="38">
                  <c:v>-171141</c:v>
                </c:pt>
                <c:pt idx="39">
                  <c:v>-2578498</c:v>
                </c:pt>
                <c:pt idx="40">
                  <c:v>-1924050</c:v>
                </c:pt>
                <c:pt idx="41">
                  <c:v>-327884</c:v>
                </c:pt>
                <c:pt idx="42">
                  <c:v>-171141</c:v>
                </c:pt>
                <c:pt idx="43">
                  <c:v>-307545</c:v>
                </c:pt>
                <c:pt idx="44">
                  <c:v>-8500</c:v>
                </c:pt>
                <c:pt idx="45">
                  <c:v>-47224</c:v>
                </c:pt>
                <c:pt idx="46">
                  <c:v>-34461</c:v>
                </c:pt>
                <c:pt idx="47">
                  <c:v>-8474</c:v>
                </c:pt>
                <c:pt idx="48">
                  <c:v>-84296</c:v>
                </c:pt>
                <c:pt idx="49">
                  <c:v>-98184</c:v>
                </c:pt>
                <c:pt idx="50">
                  <c:v>-71666</c:v>
                </c:pt>
                <c:pt idx="51">
                  <c:v>-100403</c:v>
                </c:pt>
                <c:pt idx="52">
                  <c:v>-219068</c:v>
                </c:pt>
                <c:pt idx="53">
                  <c:v>-28603</c:v>
                </c:pt>
                <c:pt idx="54">
                  <c:v>-98562</c:v>
                </c:pt>
                <c:pt idx="55">
                  <c:v>-75896</c:v>
                </c:pt>
                <c:pt idx="56">
                  <c:v>-243304</c:v>
                </c:pt>
                <c:pt idx="57">
                  <c:v>-190310</c:v>
                </c:pt>
                <c:pt idx="58">
                  <c:v>-474588</c:v>
                </c:pt>
                <c:pt idx="59">
                  <c:v>-1837033</c:v>
                </c:pt>
                <c:pt idx="60">
                  <c:v>-19283</c:v>
                </c:pt>
                <c:pt idx="61">
                  <c:v>-822876</c:v>
                </c:pt>
                <c:pt idx="62">
                  <c:v>-1765152</c:v>
                </c:pt>
                <c:pt idx="63">
                  <c:v>-1951679</c:v>
                </c:pt>
                <c:pt idx="64">
                  <c:v>-877695</c:v>
                </c:pt>
                <c:pt idx="65">
                  <c:v>-2760622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55-4E52-BB0F-1958072767A1}"/>
            </c:ext>
          </c:extLst>
        </c:ser>
        <c:ser>
          <c:idx val="2"/>
          <c:order val="2"/>
          <c:tx>
            <c:strRef>
              <c:f>'ES nonlinear'!$F$1</c:f>
              <c:strCache>
                <c:ptCount val="1"/>
                <c:pt idx="0">
                  <c:v> CoH haircut with new params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'ES nonlinear'!$C$2:$C$67</c:f>
              <c:strCache>
                <c:ptCount val="66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  <c:pt idx="62">
                  <c:v>portfolio63</c:v>
                </c:pt>
                <c:pt idx="63">
                  <c:v>portfolio64</c:v>
                </c:pt>
                <c:pt idx="64">
                  <c:v>portfolio65</c:v>
                </c:pt>
                <c:pt idx="65">
                  <c:v>portfolio66</c:v>
                </c:pt>
              </c:strCache>
            </c:strRef>
          </c:cat>
          <c:val>
            <c:numRef>
              <c:f>'ES nonlinear'!$F$2:$F$67</c:f>
              <c:numCache>
                <c:formatCode>_-* #,##0.00_-;\-* #,##0.00_-;_-* "-"??_-;_-@_-</c:formatCode>
                <c:ptCount val="66"/>
                <c:pt idx="0">
                  <c:v>-7312</c:v>
                </c:pt>
                <c:pt idx="1">
                  <c:v>-37053</c:v>
                </c:pt>
                <c:pt idx="2">
                  <c:v>-14623</c:v>
                </c:pt>
                <c:pt idx="3">
                  <c:v>-21041</c:v>
                </c:pt>
                <c:pt idx="4">
                  <c:v>-39302</c:v>
                </c:pt>
                <c:pt idx="5">
                  <c:v>-32674</c:v>
                </c:pt>
                <c:pt idx="6">
                  <c:v>-62159</c:v>
                </c:pt>
                <c:pt idx="7">
                  <c:v>-100054</c:v>
                </c:pt>
                <c:pt idx="8">
                  <c:v>-154523</c:v>
                </c:pt>
                <c:pt idx="9">
                  <c:v>-60939</c:v>
                </c:pt>
                <c:pt idx="10">
                  <c:v>-213423</c:v>
                </c:pt>
                <c:pt idx="11">
                  <c:v>-78674</c:v>
                </c:pt>
                <c:pt idx="12">
                  <c:v>-339597</c:v>
                </c:pt>
                <c:pt idx="13">
                  <c:v>-159083</c:v>
                </c:pt>
                <c:pt idx="14">
                  <c:v>-869518</c:v>
                </c:pt>
                <c:pt idx="15">
                  <c:v>-1312128</c:v>
                </c:pt>
                <c:pt idx="16">
                  <c:v>-642283</c:v>
                </c:pt>
                <c:pt idx="17">
                  <c:v>-675766</c:v>
                </c:pt>
                <c:pt idx="18">
                  <c:v>-963610</c:v>
                </c:pt>
                <c:pt idx="19">
                  <c:v>-865196</c:v>
                </c:pt>
                <c:pt idx="20">
                  <c:v>-1037910</c:v>
                </c:pt>
                <c:pt idx="21">
                  <c:v>-7681</c:v>
                </c:pt>
                <c:pt idx="22">
                  <c:v>-174800</c:v>
                </c:pt>
                <c:pt idx="23">
                  <c:v>-32834</c:v>
                </c:pt>
                <c:pt idx="24">
                  <c:v>-30908</c:v>
                </c:pt>
                <c:pt idx="25">
                  <c:v>-86266</c:v>
                </c:pt>
                <c:pt idx="26">
                  <c:v>-47906</c:v>
                </c:pt>
                <c:pt idx="27">
                  <c:v>-88159</c:v>
                </c:pt>
                <c:pt idx="28">
                  <c:v>-401054</c:v>
                </c:pt>
                <c:pt idx="29">
                  <c:v>-74921</c:v>
                </c:pt>
                <c:pt idx="30">
                  <c:v>-44833</c:v>
                </c:pt>
                <c:pt idx="31">
                  <c:v>-405387</c:v>
                </c:pt>
                <c:pt idx="32">
                  <c:v>-76002</c:v>
                </c:pt>
                <c:pt idx="33">
                  <c:v>-926395</c:v>
                </c:pt>
                <c:pt idx="34">
                  <c:v>-707498</c:v>
                </c:pt>
                <c:pt idx="35">
                  <c:v>-289351</c:v>
                </c:pt>
                <c:pt idx="36">
                  <c:v>-705462</c:v>
                </c:pt>
                <c:pt idx="37">
                  <c:v>-280726</c:v>
                </c:pt>
                <c:pt idx="38">
                  <c:v>-378064</c:v>
                </c:pt>
                <c:pt idx="39">
                  <c:v>-2448264</c:v>
                </c:pt>
                <c:pt idx="40">
                  <c:v>-1934783</c:v>
                </c:pt>
                <c:pt idx="41">
                  <c:v>-417028</c:v>
                </c:pt>
                <c:pt idx="42">
                  <c:v>-169585</c:v>
                </c:pt>
                <c:pt idx="43">
                  <c:v>-425739</c:v>
                </c:pt>
                <c:pt idx="44">
                  <c:v>-8238</c:v>
                </c:pt>
                <c:pt idx="45">
                  <c:v>-46302</c:v>
                </c:pt>
                <c:pt idx="46">
                  <c:v>-34411</c:v>
                </c:pt>
                <c:pt idx="47">
                  <c:v>-8214</c:v>
                </c:pt>
                <c:pt idx="48">
                  <c:v>-82760</c:v>
                </c:pt>
                <c:pt idx="49">
                  <c:v>-98225</c:v>
                </c:pt>
                <c:pt idx="50">
                  <c:v>-73821</c:v>
                </c:pt>
                <c:pt idx="51">
                  <c:v>-101825</c:v>
                </c:pt>
                <c:pt idx="52">
                  <c:v>-213489</c:v>
                </c:pt>
                <c:pt idx="53">
                  <c:v>-29539</c:v>
                </c:pt>
                <c:pt idx="54">
                  <c:v>-100638</c:v>
                </c:pt>
                <c:pt idx="55">
                  <c:v>-74554</c:v>
                </c:pt>
                <c:pt idx="56">
                  <c:v>-252137</c:v>
                </c:pt>
                <c:pt idx="57">
                  <c:v>-189341</c:v>
                </c:pt>
                <c:pt idx="58">
                  <c:v>-514006</c:v>
                </c:pt>
                <c:pt idx="59">
                  <c:v>-1827322</c:v>
                </c:pt>
                <c:pt idx="60" formatCode="#,##0">
                  <c:v>-20360</c:v>
                </c:pt>
                <c:pt idx="61">
                  <c:v>-810166</c:v>
                </c:pt>
                <c:pt idx="62">
                  <c:v>-1700914</c:v>
                </c:pt>
                <c:pt idx="63">
                  <c:v>-1959404</c:v>
                </c:pt>
                <c:pt idx="64">
                  <c:v>-1028917</c:v>
                </c:pt>
                <c:pt idx="65">
                  <c:v>-2566077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55-4E52-BB0F-195807276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214384"/>
        <c:axId val="450215824"/>
      </c:lineChart>
      <c:catAx>
        <c:axId val="45021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215824"/>
        <c:crosses val="autoZero"/>
        <c:auto val="1"/>
        <c:lblAlgn val="ctr"/>
        <c:lblOffset val="100"/>
        <c:noMultiLvlLbl val="0"/>
      </c:catAx>
      <c:valAx>
        <c:axId val="4502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21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NQ linear portfolios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'NQ linear'!$D$1</c:f>
              <c:strCache>
                <c:ptCount val="1"/>
                <c:pt idx="0">
                  <c:v> CME margin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'NQ linear'!$C$2:$C$15</c:f>
              <c:strCache>
                <c:ptCount val="14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  <c:pt idx="9">
                  <c:v>portfolio 10</c:v>
                </c:pt>
                <c:pt idx="10">
                  <c:v>portfolio 11</c:v>
                </c:pt>
                <c:pt idx="11">
                  <c:v>portfolio 12</c:v>
                </c:pt>
                <c:pt idx="12">
                  <c:v>portfolio 13</c:v>
                </c:pt>
                <c:pt idx="13">
                  <c:v>portfolio 14</c:v>
                </c:pt>
              </c:strCache>
            </c:strRef>
          </c:cat>
          <c:val>
            <c:numRef>
              <c:f>'NQ linear'!$D$2:$D$15</c:f>
              <c:numCache>
                <c:formatCode>_-* #,##0.00_-;\-* #,##0.00_-;_-* "-"??_-;_-@_-</c:formatCode>
                <c:ptCount val="14"/>
                <c:pt idx="0">
                  <c:v>-32333.279999999999</c:v>
                </c:pt>
                <c:pt idx="1">
                  <c:v>-3706001.01</c:v>
                </c:pt>
                <c:pt idx="2">
                  <c:v>-3691623.04</c:v>
                </c:pt>
                <c:pt idx="3">
                  <c:v>-3706001.01</c:v>
                </c:pt>
                <c:pt idx="4">
                  <c:v>-37291.64</c:v>
                </c:pt>
                <c:pt idx="5">
                  <c:v>-7021491.0999999996</c:v>
                </c:pt>
                <c:pt idx="6">
                  <c:v>-86359.63</c:v>
                </c:pt>
                <c:pt idx="7">
                  <c:v>-7006450.5999999996</c:v>
                </c:pt>
                <c:pt idx="8">
                  <c:v>-3513718.48</c:v>
                </c:pt>
                <c:pt idx="9">
                  <c:v>-7417625.0300000003</c:v>
                </c:pt>
                <c:pt idx="10">
                  <c:v>-37216.74</c:v>
                </c:pt>
                <c:pt idx="11">
                  <c:v>-63959.519999999997</c:v>
                </c:pt>
                <c:pt idx="12">
                  <c:v>-3711067.43</c:v>
                </c:pt>
                <c:pt idx="13">
                  <c:v>-7018926.5099999998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E-4223-A0CC-700E8AD29BA5}"/>
            </c:ext>
          </c:extLst>
        </c:ser>
        <c:ser>
          <c:idx val="1"/>
          <c:order val="1"/>
          <c:tx>
            <c:strRef>
              <c:f>'NQ linear'!$E$1</c:f>
              <c:strCache>
                <c:ptCount val="1"/>
                <c:pt idx="0">
                  <c:v> CoH haircut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'NQ linear'!$C$2:$C$15</c:f>
              <c:strCache>
                <c:ptCount val="14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  <c:pt idx="9">
                  <c:v>portfolio 10</c:v>
                </c:pt>
                <c:pt idx="10">
                  <c:v>portfolio 11</c:v>
                </c:pt>
                <c:pt idx="11">
                  <c:v>portfolio 12</c:v>
                </c:pt>
                <c:pt idx="12">
                  <c:v>portfolio 13</c:v>
                </c:pt>
                <c:pt idx="13">
                  <c:v>portfolio 14</c:v>
                </c:pt>
              </c:strCache>
            </c:strRef>
          </c:cat>
          <c:val>
            <c:numRef>
              <c:f>'NQ linear'!$E$2:$E$15</c:f>
              <c:numCache>
                <c:formatCode>_-* #,##0.00_-;\-* #,##0.00_-;_-* "-"??_-;_-@_-</c:formatCode>
                <c:ptCount val="14"/>
                <c:pt idx="0">
                  <c:v>-31176</c:v>
                </c:pt>
                <c:pt idx="1">
                  <c:v>-4221215</c:v>
                </c:pt>
                <c:pt idx="2">
                  <c:v>-4299612</c:v>
                </c:pt>
                <c:pt idx="3">
                  <c:v>-4221215</c:v>
                </c:pt>
                <c:pt idx="4">
                  <c:v>-44246</c:v>
                </c:pt>
                <c:pt idx="5">
                  <c:v>-6048049</c:v>
                </c:pt>
                <c:pt idx="6">
                  <c:v>-62953</c:v>
                </c:pt>
                <c:pt idx="7">
                  <c:v>-6018241</c:v>
                </c:pt>
                <c:pt idx="8">
                  <c:v>-2950815</c:v>
                </c:pt>
                <c:pt idx="9">
                  <c:v>-8999188</c:v>
                </c:pt>
                <c:pt idx="10">
                  <c:v>-45336</c:v>
                </c:pt>
                <c:pt idx="11">
                  <c:v>-47699</c:v>
                </c:pt>
                <c:pt idx="12">
                  <c:v>-4396236</c:v>
                </c:pt>
                <c:pt idx="13">
                  <c:v>-6026876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E-4223-A0CC-700E8AD29BA5}"/>
            </c:ext>
          </c:extLst>
        </c:ser>
        <c:ser>
          <c:idx val="2"/>
          <c:order val="2"/>
          <c:tx>
            <c:strRef>
              <c:f>'NQ linear'!$F$1</c:f>
              <c:strCache>
                <c:ptCount val="1"/>
                <c:pt idx="0">
                  <c:v> CoH haircut with new params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'NQ linear'!$C$2:$C$15</c:f>
              <c:strCache>
                <c:ptCount val="14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  <c:pt idx="9">
                  <c:v>portfolio 10</c:v>
                </c:pt>
                <c:pt idx="10">
                  <c:v>portfolio 11</c:v>
                </c:pt>
                <c:pt idx="11">
                  <c:v>portfolio 12</c:v>
                </c:pt>
                <c:pt idx="12">
                  <c:v>portfolio 13</c:v>
                </c:pt>
                <c:pt idx="13">
                  <c:v>portfolio 14</c:v>
                </c:pt>
              </c:strCache>
            </c:strRef>
          </c:cat>
          <c:val>
            <c:numRef>
              <c:f>'NQ linear'!$F$2:$F$15</c:f>
              <c:numCache>
                <c:formatCode>_-* #,##0.00_-;\-* #,##0.00_-;_-* "-"??_-;_-@_-</c:formatCode>
                <c:ptCount val="14"/>
                <c:pt idx="0">
                  <c:v>-30642</c:v>
                </c:pt>
                <c:pt idx="1">
                  <c:v>-3988394</c:v>
                </c:pt>
                <c:pt idx="2">
                  <c:v>-4063503</c:v>
                </c:pt>
                <c:pt idx="3">
                  <c:v>-3988394</c:v>
                </c:pt>
                <c:pt idx="4">
                  <c:v>-42048</c:v>
                </c:pt>
                <c:pt idx="5">
                  <c:v>-5936701</c:v>
                </c:pt>
                <c:pt idx="6">
                  <c:v>-61924</c:v>
                </c:pt>
                <c:pt idx="7">
                  <c:v>-5907401</c:v>
                </c:pt>
                <c:pt idx="8">
                  <c:v>-2896429</c:v>
                </c:pt>
                <c:pt idx="9">
                  <c:v>-8516077</c:v>
                </c:pt>
                <c:pt idx="10">
                  <c:v>-43365</c:v>
                </c:pt>
                <c:pt idx="11">
                  <c:v>-45632</c:v>
                </c:pt>
                <c:pt idx="12">
                  <c:v>-4182841</c:v>
                </c:pt>
                <c:pt idx="13">
                  <c:v>-5949807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2E-4223-A0CC-700E8AD29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82591"/>
        <c:axId val="193183071"/>
      </c:lineChart>
      <c:catAx>
        <c:axId val="19318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83071"/>
        <c:crosses val="autoZero"/>
        <c:auto val="1"/>
        <c:lblAlgn val="ctr"/>
        <c:lblOffset val="100"/>
        <c:noMultiLvlLbl val="0"/>
      </c:catAx>
      <c:valAx>
        <c:axId val="1931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8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NQ mixed portfolios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'NQ mixed'!$D$1</c:f>
              <c:strCache>
                <c:ptCount val="1"/>
                <c:pt idx="0">
                  <c:v> CME margin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'NQ mixed'!$C$2:$C$10</c:f>
              <c:strCache>
                <c:ptCount val="9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</c:strCache>
            </c:strRef>
          </c:cat>
          <c:val>
            <c:numRef>
              <c:f>'NQ mixed'!$D$2:$D$10</c:f>
              <c:numCache>
                <c:formatCode>_-* #,##0.00_-;\-* #,##0.00_-;_-* "-"??_-;_-@_-</c:formatCode>
                <c:ptCount val="9"/>
                <c:pt idx="0">
                  <c:v>-8765860.3599999994</c:v>
                </c:pt>
                <c:pt idx="1">
                  <c:v>-3726545.42</c:v>
                </c:pt>
                <c:pt idx="2">
                  <c:v>-4226421.03</c:v>
                </c:pt>
                <c:pt idx="3">
                  <c:v>-7155855.1399999997</c:v>
                </c:pt>
                <c:pt idx="4">
                  <c:v>-21733963.199999999</c:v>
                </c:pt>
                <c:pt idx="5">
                  <c:v>-11123980.24</c:v>
                </c:pt>
                <c:pt idx="6">
                  <c:v>-3730328.52</c:v>
                </c:pt>
                <c:pt idx="7">
                  <c:v>-5891120.7400000002</c:v>
                </c:pt>
                <c:pt idx="8">
                  <c:v>-4087101.78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3-417F-B3D4-BD8FAB32065C}"/>
            </c:ext>
          </c:extLst>
        </c:ser>
        <c:ser>
          <c:idx val="1"/>
          <c:order val="1"/>
          <c:tx>
            <c:strRef>
              <c:f>'NQ mixed'!$E$1</c:f>
              <c:strCache>
                <c:ptCount val="1"/>
                <c:pt idx="0">
                  <c:v> CoH haircut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'NQ mixed'!$C$2:$C$10</c:f>
              <c:strCache>
                <c:ptCount val="9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</c:strCache>
            </c:strRef>
          </c:cat>
          <c:val>
            <c:numRef>
              <c:f>'NQ mixed'!$E$2:$E$10</c:f>
              <c:numCache>
                <c:formatCode>_-* #,##0.00_-;\-* #,##0.00_-;_-* "-"??_-;_-@_-</c:formatCode>
                <c:ptCount val="9"/>
                <c:pt idx="0">
                  <c:v>-624921</c:v>
                </c:pt>
                <c:pt idx="1">
                  <c:v>-4295033</c:v>
                </c:pt>
                <c:pt idx="2">
                  <c:v>-4007929</c:v>
                </c:pt>
                <c:pt idx="3">
                  <c:v>-848278</c:v>
                </c:pt>
                <c:pt idx="4">
                  <c:v>-350587</c:v>
                </c:pt>
                <c:pt idx="5">
                  <c:v>-1545897</c:v>
                </c:pt>
                <c:pt idx="6" formatCode="#,##0">
                  <c:v>-3577960</c:v>
                </c:pt>
                <c:pt idx="7" formatCode="#,##0">
                  <c:v>-2262759</c:v>
                </c:pt>
                <c:pt idx="8" formatCode="#,##0">
                  <c:v>-4327647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3-417F-B3D4-BD8FAB32065C}"/>
            </c:ext>
          </c:extLst>
        </c:ser>
        <c:ser>
          <c:idx val="2"/>
          <c:order val="2"/>
          <c:tx>
            <c:strRef>
              <c:f>'NQ mixed'!$F$1</c:f>
              <c:strCache>
                <c:ptCount val="1"/>
                <c:pt idx="0">
                  <c:v> CoH haircut with new params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'NQ mixed'!$C$2:$C$10</c:f>
              <c:strCache>
                <c:ptCount val="9"/>
                <c:pt idx="0">
                  <c:v>portfolio 1</c:v>
                </c:pt>
                <c:pt idx="1">
                  <c:v>portfolio 2</c:v>
                </c:pt>
                <c:pt idx="2">
                  <c:v>portfolio 3</c:v>
                </c:pt>
                <c:pt idx="3">
                  <c:v>portfolio 4</c:v>
                </c:pt>
                <c:pt idx="4">
                  <c:v>portfolio 5</c:v>
                </c:pt>
                <c:pt idx="5">
                  <c:v>portfolio 6</c:v>
                </c:pt>
                <c:pt idx="6">
                  <c:v>portfolio 7</c:v>
                </c:pt>
                <c:pt idx="7">
                  <c:v>portfolio 8</c:v>
                </c:pt>
                <c:pt idx="8">
                  <c:v>portfolio 9</c:v>
                </c:pt>
              </c:strCache>
            </c:strRef>
          </c:cat>
          <c:val>
            <c:numRef>
              <c:f>'NQ mixed'!$F$2:$F$10</c:f>
              <c:numCache>
                <c:formatCode>_-* #,##0.00_-;\-* #,##0.00_-;_-* "-"??_-;_-@_-</c:formatCode>
                <c:ptCount val="9"/>
                <c:pt idx="0">
                  <c:v>-885730</c:v>
                </c:pt>
                <c:pt idx="1">
                  <c:v>-4135135</c:v>
                </c:pt>
                <c:pt idx="2">
                  <c:v>-4157173</c:v>
                </c:pt>
                <c:pt idx="3">
                  <c:v>-1302973</c:v>
                </c:pt>
                <c:pt idx="4">
                  <c:v>-283267</c:v>
                </c:pt>
                <c:pt idx="5">
                  <c:v>-1714146</c:v>
                </c:pt>
                <c:pt idx="6" formatCode="#,##0">
                  <c:v>-3821778</c:v>
                </c:pt>
                <c:pt idx="7" formatCode="#,##0">
                  <c:v>-2763354</c:v>
                </c:pt>
                <c:pt idx="8" formatCode="#,##0">
                  <c:v>-4434064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3-417F-B3D4-BD8FAB320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907679"/>
        <c:axId val="1274909119"/>
      </c:lineChart>
      <c:catAx>
        <c:axId val="127490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909119"/>
        <c:crosses val="autoZero"/>
        <c:auto val="1"/>
        <c:lblAlgn val="ctr"/>
        <c:lblOffset val="100"/>
        <c:noMultiLvlLbl val="0"/>
      </c:catAx>
      <c:valAx>
        <c:axId val="127490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90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[ES_NQ_threeway comparison.xlsx]NQ mixed!PivotTable3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NDX</a:t>
            </a:r>
            <a:r>
              <a:rPr lang="en-GB" b="1" baseline="0"/>
              <a:t> mixed portfolios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'NQ mixed'!$K$1</c:f>
              <c:strCache>
                <c:ptCount val="1"/>
                <c:pt idx="0">
                  <c:v>Average of CME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'NQ mixed'!$J$2:$J$4</c:f>
              <c:strCache>
                <c:ptCount val="3"/>
                <c:pt idx="0">
                  <c:v>cc03</c:v>
                </c:pt>
                <c:pt idx="1">
                  <c:v>cc06</c:v>
                </c:pt>
                <c:pt idx="2">
                  <c:v>cc09</c:v>
                </c:pt>
              </c:strCache>
            </c:strRef>
          </c:cat>
          <c:val>
            <c:numRef>
              <c:f>'NQ mixed'!$K$2:$K$4</c:f>
              <c:numCache>
                <c:formatCode>_-* #,##0.00_-;\-* #,##0.00_-;_-* "-"??_-;_-@_-</c:formatCode>
                <c:ptCount val="3"/>
                <c:pt idx="0">
                  <c:v>-6550681.3399999999</c:v>
                </c:pt>
                <c:pt idx="1">
                  <c:v>-10450543.119999999</c:v>
                </c:pt>
                <c:pt idx="2">
                  <c:v>-6479167.6833333336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D-4C1F-8FFB-A6F79F0819F5}"/>
            </c:ext>
          </c:extLst>
        </c:ser>
        <c:ser>
          <c:idx val="1"/>
          <c:order val="1"/>
          <c:tx>
            <c:strRef>
              <c:f>'NQ mixed'!$L$1</c:f>
              <c:strCache>
                <c:ptCount val="1"/>
                <c:pt idx="0">
                  <c:v>Average of CoH haircut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'NQ mixed'!$J$2:$J$4</c:f>
              <c:strCache>
                <c:ptCount val="3"/>
                <c:pt idx="0">
                  <c:v>cc03</c:v>
                </c:pt>
                <c:pt idx="1">
                  <c:v>cc06</c:v>
                </c:pt>
                <c:pt idx="2">
                  <c:v>cc09</c:v>
                </c:pt>
              </c:strCache>
            </c:strRef>
          </c:cat>
          <c:val>
            <c:numRef>
              <c:f>'NQ mixed'!$L$2:$L$4</c:f>
              <c:numCache>
                <c:formatCode>#,##0.00</c:formatCode>
                <c:ptCount val="3"/>
                <c:pt idx="0">
                  <c:v>-1727852</c:v>
                </c:pt>
                <c:pt idx="1">
                  <c:v>-983637.33333333337</c:v>
                </c:pt>
                <c:pt idx="2">
                  <c:v>-2446648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D-4C1F-8FFB-A6F79F0819F5}"/>
            </c:ext>
          </c:extLst>
        </c:ser>
        <c:ser>
          <c:idx val="2"/>
          <c:order val="2"/>
          <c:tx>
            <c:strRef>
              <c:f>'NQ mixed'!$M$1</c:f>
              <c:strCache>
                <c:ptCount val="1"/>
                <c:pt idx="0">
                  <c:v>Average of CoH haircut with new params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'NQ mixed'!$J$2:$J$4</c:f>
              <c:strCache>
                <c:ptCount val="3"/>
                <c:pt idx="0">
                  <c:v>cc03</c:v>
                </c:pt>
                <c:pt idx="1">
                  <c:v>cc06</c:v>
                </c:pt>
                <c:pt idx="2">
                  <c:v>cc09</c:v>
                </c:pt>
              </c:strCache>
            </c:strRef>
          </c:cat>
          <c:val>
            <c:numRef>
              <c:f>'NQ mixed'!$M$2:$M$4</c:f>
              <c:numCache>
                <c:formatCode>#,##0.00</c:formatCode>
                <c:ptCount val="3"/>
                <c:pt idx="0">
                  <c:v>-1673923.3333333333</c:v>
                </c:pt>
                <c:pt idx="1">
                  <c:v>-2192702</c:v>
                </c:pt>
                <c:pt idx="2">
                  <c:v>-3125321.3333333335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6D-4C1F-8FFB-A6F79F081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373471"/>
        <c:axId val="1727355231"/>
      </c:barChart>
      <c:catAx>
        <c:axId val="172737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55231"/>
        <c:crosses val="autoZero"/>
        <c:auto val="1"/>
        <c:lblAlgn val="ctr"/>
        <c:lblOffset val="100"/>
        <c:noMultiLvlLbl val="0"/>
      </c:catAx>
      <c:valAx>
        <c:axId val="172735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7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NDX</a:t>
            </a:r>
            <a:r>
              <a:rPr lang="en-US" baseline="0"/>
              <a:t> non-linear portfolios (bar chart)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'NQ nonlinear'!$D$1</c:f>
              <c:strCache>
                <c:ptCount val="1"/>
                <c:pt idx="0">
                  <c:v> CME margin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'NQ nonlinear'!$C$2:$C$63</c:f>
              <c:strCache>
                <c:ptCount val="62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</c:strCache>
            </c:strRef>
          </c:cat>
          <c:val>
            <c:numRef>
              <c:f>'NQ nonlinear'!$D$2:$D$63</c:f>
              <c:numCache>
                <c:formatCode>_-* #,##0.00_-;\-* #,##0.00_-;_-* "-"??_-;_-@_-</c:formatCode>
                <c:ptCount val="62"/>
                <c:pt idx="0">
                  <c:v>-191343.64</c:v>
                </c:pt>
                <c:pt idx="1">
                  <c:v>-2716248.45</c:v>
                </c:pt>
                <c:pt idx="2">
                  <c:v>-2755458.55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-83598.52</c:v>
                </c:pt>
                <c:pt idx="10">
                  <c:v>-1507731.49</c:v>
                </c:pt>
                <c:pt idx="11">
                  <c:v>-1892107.34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-4127722.32</c:v>
                </c:pt>
                <c:pt idx="16">
                  <c:v>-564615.21</c:v>
                </c:pt>
                <c:pt idx="17">
                  <c:v>-2390202.31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-271747.33</c:v>
                </c:pt>
                <c:pt idx="22">
                  <c:v>-892973.2</c:v>
                </c:pt>
                <c:pt idx="23">
                  <c:v>-2745514.08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-289378.34999999998</c:v>
                </c:pt>
                <c:pt idx="28">
                  <c:v>-901065.73</c:v>
                </c:pt>
                <c:pt idx="29">
                  <c:v>-1875858.59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-303876.17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-560498.11</c:v>
                </c:pt>
                <c:pt idx="43">
                  <c:v>-892042.79</c:v>
                </c:pt>
                <c:pt idx="44">
                  <c:v>-2786255.13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-561134.23</c:v>
                </c:pt>
                <c:pt idx="52">
                  <c:v>-1755808.58</c:v>
                </c:pt>
                <c:pt idx="53">
                  <c:v>-931928.17</c:v>
                </c:pt>
                <c:pt idx="54">
                  <c:v>-4731.8100000000004</c:v>
                </c:pt>
                <c:pt idx="55">
                  <c:v>-1309706.06</c:v>
                </c:pt>
                <c:pt idx="56">
                  <c:v>-2969606.16</c:v>
                </c:pt>
                <c:pt idx="57">
                  <c:v>-603500.06999999995</c:v>
                </c:pt>
                <c:pt idx="58">
                  <c:v>-2685161.32</c:v>
                </c:pt>
                <c:pt idx="59">
                  <c:v>-10359711.869999999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E-42A0-9970-0A9F5F8BBC5D}"/>
            </c:ext>
          </c:extLst>
        </c:ser>
        <c:ser>
          <c:idx val="1"/>
          <c:order val="1"/>
          <c:tx>
            <c:strRef>
              <c:f>'NQ nonlinear'!$E$1</c:f>
              <c:strCache>
                <c:ptCount val="1"/>
                <c:pt idx="0">
                  <c:v> CoH haircut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'NQ nonlinear'!$C$2:$C$63</c:f>
              <c:strCache>
                <c:ptCount val="62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</c:strCache>
            </c:strRef>
          </c:cat>
          <c:val>
            <c:numRef>
              <c:f>'NQ nonlinear'!$E$2:$E$63</c:f>
              <c:numCache>
                <c:formatCode>_-* #,##0.00_-;\-* #,##0.00_-;_-* "-"??_-;_-@_-</c:formatCode>
                <c:ptCount val="62"/>
                <c:pt idx="0">
                  <c:v>-42932</c:v>
                </c:pt>
                <c:pt idx="1">
                  <c:v>-352662</c:v>
                </c:pt>
                <c:pt idx="2">
                  <c:v>-246489</c:v>
                </c:pt>
                <c:pt idx="3">
                  <c:v>-20182</c:v>
                </c:pt>
                <c:pt idx="4">
                  <c:v>-128563</c:v>
                </c:pt>
                <c:pt idx="5">
                  <c:v>-69598</c:v>
                </c:pt>
                <c:pt idx="6">
                  <c:v>-190536</c:v>
                </c:pt>
                <c:pt idx="7">
                  <c:v>-688662</c:v>
                </c:pt>
                <c:pt idx="8">
                  <c:v>-459958</c:v>
                </c:pt>
                <c:pt idx="9">
                  <c:v>-61597</c:v>
                </c:pt>
                <c:pt idx="10">
                  <c:v>-679564</c:v>
                </c:pt>
                <c:pt idx="11">
                  <c:v>-297865</c:v>
                </c:pt>
                <c:pt idx="12">
                  <c:v>-745990</c:v>
                </c:pt>
                <c:pt idx="13">
                  <c:v>-724758</c:v>
                </c:pt>
                <c:pt idx="14">
                  <c:v>-850252</c:v>
                </c:pt>
                <c:pt idx="15">
                  <c:v>-1056073</c:v>
                </c:pt>
                <c:pt idx="16">
                  <c:v>-144692</c:v>
                </c:pt>
                <c:pt idx="17">
                  <c:v>-1465686</c:v>
                </c:pt>
                <c:pt idx="18">
                  <c:v>-2915334</c:v>
                </c:pt>
                <c:pt idx="19">
                  <c:v>-2108989</c:v>
                </c:pt>
                <c:pt idx="20">
                  <c:v>-2826684</c:v>
                </c:pt>
                <c:pt idx="21">
                  <c:v>-106418</c:v>
                </c:pt>
                <c:pt idx="22">
                  <c:v>-130704</c:v>
                </c:pt>
                <c:pt idx="23">
                  <c:v>-262760</c:v>
                </c:pt>
                <c:pt idx="24">
                  <c:v>-36767</c:v>
                </c:pt>
                <c:pt idx="25">
                  <c:v>-432005</c:v>
                </c:pt>
                <c:pt idx="26">
                  <c:v>-131345</c:v>
                </c:pt>
                <c:pt idx="27">
                  <c:v>-173607</c:v>
                </c:pt>
                <c:pt idx="28">
                  <c:v>-781979</c:v>
                </c:pt>
                <c:pt idx="29">
                  <c:v>-658100</c:v>
                </c:pt>
                <c:pt idx="30">
                  <c:v>-175301</c:v>
                </c:pt>
                <c:pt idx="31">
                  <c:v>-268971</c:v>
                </c:pt>
                <c:pt idx="32">
                  <c:v>-330654</c:v>
                </c:pt>
                <c:pt idx="33">
                  <c:v>-756593</c:v>
                </c:pt>
                <c:pt idx="34">
                  <c:v>-952524</c:v>
                </c:pt>
                <c:pt idx="35">
                  <c:v>-404180</c:v>
                </c:pt>
                <c:pt idx="36">
                  <c:v>-904405</c:v>
                </c:pt>
                <c:pt idx="37">
                  <c:v>-508901</c:v>
                </c:pt>
                <c:pt idx="38">
                  <c:v>-978193</c:v>
                </c:pt>
                <c:pt idx="39">
                  <c:v>-2846200</c:v>
                </c:pt>
                <c:pt idx="40">
                  <c:v>-1749160</c:v>
                </c:pt>
                <c:pt idx="41">
                  <c:v>-3037067</c:v>
                </c:pt>
                <c:pt idx="42">
                  <c:v>-174321</c:v>
                </c:pt>
                <c:pt idx="43">
                  <c:v>-131482</c:v>
                </c:pt>
                <c:pt idx="44">
                  <c:v>-230117</c:v>
                </c:pt>
                <c:pt idx="45">
                  <c:v>-57973</c:v>
                </c:pt>
                <c:pt idx="46">
                  <c:v>-273604</c:v>
                </c:pt>
                <c:pt idx="47">
                  <c:v>-317097</c:v>
                </c:pt>
                <c:pt idx="48">
                  <c:v>-52593</c:v>
                </c:pt>
                <c:pt idx="49">
                  <c:v>-464230</c:v>
                </c:pt>
                <c:pt idx="50">
                  <c:v>-657126</c:v>
                </c:pt>
                <c:pt idx="51">
                  <c:v>-311762</c:v>
                </c:pt>
                <c:pt idx="52">
                  <c:v>-578017</c:v>
                </c:pt>
                <c:pt idx="53">
                  <c:v>-177645</c:v>
                </c:pt>
                <c:pt idx="54">
                  <c:v>-197525</c:v>
                </c:pt>
                <c:pt idx="55">
                  <c:v>-510819</c:v>
                </c:pt>
                <c:pt idx="56">
                  <c:v>-736159</c:v>
                </c:pt>
                <c:pt idx="57">
                  <c:v>-45408</c:v>
                </c:pt>
                <c:pt idx="58">
                  <c:v>-2431652</c:v>
                </c:pt>
                <c:pt idx="59">
                  <c:v>-2496936</c:v>
                </c:pt>
                <c:pt idx="60">
                  <c:v>-3062098</c:v>
                </c:pt>
                <c:pt idx="61">
                  <c:v>-4336773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E-42A0-9970-0A9F5F8BBC5D}"/>
            </c:ext>
          </c:extLst>
        </c:ser>
        <c:ser>
          <c:idx val="2"/>
          <c:order val="2"/>
          <c:tx>
            <c:strRef>
              <c:f>'NQ nonlinear'!$F$1</c:f>
              <c:strCache>
                <c:ptCount val="1"/>
                <c:pt idx="0">
                  <c:v> CoH haircut with new params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'NQ nonlinear'!$C$2:$C$63</c:f>
              <c:strCache>
                <c:ptCount val="62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</c:strCache>
            </c:strRef>
          </c:cat>
          <c:val>
            <c:numRef>
              <c:f>'NQ nonlinear'!$F$2:$F$63</c:f>
              <c:numCache>
                <c:formatCode>_-* #,##0.00_-;\-* #,##0.00_-;_-* "-"??_-;_-@_-</c:formatCode>
                <c:ptCount val="62"/>
                <c:pt idx="0">
                  <c:v>-42535</c:v>
                </c:pt>
                <c:pt idx="1">
                  <c:v>-349444</c:v>
                </c:pt>
                <c:pt idx="2">
                  <c:v>-216849</c:v>
                </c:pt>
                <c:pt idx="3">
                  <c:v>-20162</c:v>
                </c:pt>
                <c:pt idx="4">
                  <c:v>-129073</c:v>
                </c:pt>
                <c:pt idx="5">
                  <c:v>-61443</c:v>
                </c:pt>
                <c:pt idx="6">
                  <c:v>-189079</c:v>
                </c:pt>
                <c:pt idx="7">
                  <c:v>-638197</c:v>
                </c:pt>
                <c:pt idx="8">
                  <c:v>-449361</c:v>
                </c:pt>
                <c:pt idx="9">
                  <c:v>-61873</c:v>
                </c:pt>
                <c:pt idx="10">
                  <c:v>-642581</c:v>
                </c:pt>
                <c:pt idx="11">
                  <c:v>-289208</c:v>
                </c:pt>
                <c:pt idx="12">
                  <c:v>-567286</c:v>
                </c:pt>
                <c:pt idx="13">
                  <c:v>-547996</c:v>
                </c:pt>
                <c:pt idx="14">
                  <c:v>-578903</c:v>
                </c:pt>
                <c:pt idx="15">
                  <c:v>-975755</c:v>
                </c:pt>
                <c:pt idx="16">
                  <c:v>-100534</c:v>
                </c:pt>
                <c:pt idx="17">
                  <c:v>-1483168</c:v>
                </c:pt>
                <c:pt idx="18">
                  <c:v>-2845038</c:v>
                </c:pt>
                <c:pt idx="19">
                  <c:v>-1956710</c:v>
                </c:pt>
                <c:pt idx="20">
                  <c:v>-2778616</c:v>
                </c:pt>
                <c:pt idx="21" formatCode="#,##0">
                  <c:v>-102277</c:v>
                </c:pt>
                <c:pt idx="22">
                  <c:v>-132351</c:v>
                </c:pt>
                <c:pt idx="23">
                  <c:v>-239504</c:v>
                </c:pt>
                <c:pt idx="24">
                  <c:v>-35308</c:v>
                </c:pt>
                <c:pt idx="25">
                  <c:v>-445491</c:v>
                </c:pt>
                <c:pt idx="26">
                  <c:v>-113961</c:v>
                </c:pt>
                <c:pt idx="27">
                  <c:v>-178645</c:v>
                </c:pt>
                <c:pt idx="28">
                  <c:v>-772941</c:v>
                </c:pt>
                <c:pt idx="29">
                  <c:v>-637515</c:v>
                </c:pt>
                <c:pt idx="30">
                  <c:v>-179546</c:v>
                </c:pt>
                <c:pt idx="31">
                  <c:v>-266935</c:v>
                </c:pt>
                <c:pt idx="32">
                  <c:v>-328238</c:v>
                </c:pt>
                <c:pt idx="33">
                  <c:v>-589285</c:v>
                </c:pt>
                <c:pt idx="34">
                  <c:v>-673568</c:v>
                </c:pt>
                <c:pt idx="35">
                  <c:v>-339005</c:v>
                </c:pt>
                <c:pt idx="36">
                  <c:v>-857419</c:v>
                </c:pt>
                <c:pt idx="37">
                  <c:v>-365511</c:v>
                </c:pt>
                <c:pt idx="38">
                  <c:v>-946593</c:v>
                </c:pt>
                <c:pt idx="39">
                  <c:v>-2776091</c:v>
                </c:pt>
                <c:pt idx="40">
                  <c:v>-1782763</c:v>
                </c:pt>
                <c:pt idx="41">
                  <c:v>-2859318</c:v>
                </c:pt>
                <c:pt idx="42">
                  <c:v>-175300</c:v>
                </c:pt>
                <c:pt idx="43">
                  <c:v>-137967</c:v>
                </c:pt>
                <c:pt idx="44">
                  <c:v>-205267</c:v>
                </c:pt>
                <c:pt idx="45">
                  <c:v>-58308</c:v>
                </c:pt>
                <c:pt idx="46">
                  <c:v>-290320</c:v>
                </c:pt>
                <c:pt idx="47">
                  <c:v>-303765</c:v>
                </c:pt>
                <c:pt idx="48">
                  <c:v>-53172</c:v>
                </c:pt>
                <c:pt idx="49">
                  <c:v>-463260</c:v>
                </c:pt>
                <c:pt idx="50">
                  <c:v>-635775</c:v>
                </c:pt>
                <c:pt idx="51">
                  <c:v>-314591</c:v>
                </c:pt>
                <c:pt idx="52">
                  <c:v>-568617</c:v>
                </c:pt>
                <c:pt idx="53">
                  <c:v>-177643</c:v>
                </c:pt>
                <c:pt idx="54">
                  <c:v>-191516</c:v>
                </c:pt>
                <c:pt idx="55">
                  <c:v>-368617</c:v>
                </c:pt>
                <c:pt idx="56">
                  <c:v>-459380</c:v>
                </c:pt>
                <c:pt idx="57">
                  <c:v>-24397</c:v>
                </c:pt>
                <c:pt idx="58">
                  <c:v>-2272839</c:v>
                </c:pt>
                <c:pt idx="59">
                  <c:v>-2556888</c:v>
                </c:pt>
                <c:pt idx="60">
                  <c:v>-3027546</c:v>
                </c:pt>
                <c:pt idx="61">
                  <c:v>-4167890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1E-42A0-9970-0A9F5F8B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8029535"/>
        <c:axId val="448026175"/>
      </c:barChart>
      <c:catAx>
        <c:axId val="44802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26175"/>
        <c:crosses val="autoZero"/>
        <c:auto val="1"/>
        <c:lblAlgn val="ctr"/>
        <c:lblOffset val="100"/>
        <c:noMultiLvlLbl val="0"/>
      </c:catAx>
      <c:valAx>
        <c:axId val="44802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2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[ES_NQ_threeway comparison.xlsx]NQ nonlinear!PivotTable4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NDX non-linear portfolios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'NQ nonlinear'!$K$1</c:f>
              <c:strCache>
                <c:ptCount val="1"/>
                <c:pt idx="0">
                  <c:v>Average of CME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'NQ nonlinear'!$J$2:$J$36</c:f>
              <c:strCache>
                <c:ptCount val="35"/>
                <c:pt idx="0">
                  <c:v>bearishcall03</c:v>
                </c:pt>
                <c:pt idx="1">
                  <c:v>bearishcall06</c:v>
                </c:pt>
                <c:pt idx="2">
                  <c:v>bearishcall09</c:v>
                </c:pt>
                <c:pt idx="3">
                  <c:v>bearishput03</c:v>
                </c:pt>
                <c:pt idx="4">
                  <c:v>bearishput06</c:v>
                </c:pt>
                <c:pt idx="5">
                  <c:v>bearishput09</c:v>
                </c:pt>
                <c:pt idx="6">
                  <c:v>bullishcall03</c:v>
                </c:pt>
                <c:pt idx="7">
                  <c:v>bullishcall06</c:v>
                </c:pt>
                <c:pt idx="8">
                  <c:v>bullishcall09</c:v>
                </c:pt>
                <c:pt idx="9">
                  <c:v>bullishput03</c:v>
                </c:pt>
                <c:pt idx="10">
                  <c:v>bullishput06</c:v>
                </c:pt>
                <c:pt idx="11">
                  <c:v>bullishput09</c:v>
                </c:pt>
                <c:pt idx="12">
                  <c:v>CS 03call 09call</c:v>
                </c:pt>
                <c:pt idx="13">
                  <c:v>CS 03put 06put</c:v>
                </c:pt>
                <c:pt idx="14">
                  <c:v>CS 06put 03put</c:v>
                </c:pt>
                <c:pt idx="15">
                  <c:v>CS 09call 03call</c:v>
                </c:pt>
                <c:pt idx="16">
                  <c:v>CS 09put 03put</c:v>
                </c:pt>
                <c:pt idx="17">
                  <c:v>CS 12call 03call</c:v>
                </c:pt>
                <c:pt idx="18">
                  <c:v>CS 12call 09call</c:v>
                </c:pt>
                <c:pt idx="19">
                  <c:v>CS 12put 03put</c:v>
                </c:pt>
                <c:pt idx="20">
                  <c:v>DS 06call 03call</c:v>
                </c:pt>
                <c:pt idx="21">
                  <c:v>DS 06call 29k 03call25.75k</c:v>
                </c:pt>
                <c:pt idx="22">
                  <c:v>DS 06call28k 03call21k</c:v>
                </c:pt>
                <c:pt idx="23">
                  <c:v>DS 06call29k 03call27.3k</c:v>
                </c:pt>
                <c:pt idx="24">
                  <c:v>DS 06put 03put</c:v>
                </c:pt>
                <c:pt idx="25">
                  <c:v>DS 09call 03call</c:v>
                </c:pt>
                <c:pt idx="26">
                  <c:v>DS 09put 03put</c:v>
                </c:pt>
                <c:pt idx="27">
                  <c:v>DS 12put 03put</c:v>
                </c:pt>
                <c:pt idx="28">
                  <c:v>straddle06</c:v>
                </c:pt>
                <c:pt idx="29">
                  <c:v>straddle09</c:v>
                </c:pt>
                <c:pt idx="30">
                  <c:v>straddle12</c:v>
                </c:pt>
                <c:pt idx="31">
                  <c:v>straddle2606</c:v>
                </c:pt>
                <c:pt idx="32">
                  <c:v>straddle2609</c:v>
                </c:pt>
                <c:pt idx="33">
                  <c:v>straddle2612</c:v>
                </c:pt>
                <c:pt idx="34">
                  <c:v>straddle6</c:v>
                </c:pt>
              </c:strCache>
            </c:strRef>
          </c:cat>
          <c:val>
            <c:numRef>
              <c:f>'NQ nonlinear'!$K$2:$K$36</c:f>
              <c:numCache>
                <c:formatCode>#,##0.00</c:formatCode>
                <c:ptCount val="35"/>
                <c:pt idx="0">
                  <c:v>-341196.36000000004</c:v>
                </c:pt>
                <c:pt idx="1">
                  <c:v>-1500421.4800000002</c:v>
                </c:pt>
                <c:pt idx="2">
                  <c:v>-2762409.2533333334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-96459.45</c:v>
                </c:pt>
                <c:pt idx="7">
                  <c:v>-300355.24333333335</c:v>
                </c:pt>
                <c:pt idx="8">
                  <c:v>-625286.19666666666</c:v>
                </c:pt>
                <c:pt idx="9">
                  <c:v>-214910.91666666666</c:v>
                </c:pt>
                <c:pt idx="10">
                  <c:v>-1087846.6900000002</c:v>
                </c:pt>
                <c:pt idx="11">
                  <c:v>-941345.17</c:v>
                </c:pt>
                <c:pt idx="12">
                  <c:v>-2969606.16</c:v>
                </c:pt>
                <c:pt idx="13">
                  <c:v>-1309706.06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-4731.8100000000004</c:v>
                </c:pt>
                <c:pt idx="19">
                  <c:v>0</c:v>
                </c:pt>
                <c:pt idx="20">
                  <c:v>-2365611.1949999998</c:v>
                </c:pt>
                <c:pt idx="21">
                  <c:v>-2390202.31</c:v>
                </c:pt>
                <c:pt idx="22">
                  <c:v>-10359711.869999999</c:v>
                </c:pt>
                <c:pt idx="23">
                  <c:v>-564615.21</c:v>
                </c:pt>
                <c:pt idx="24">
                  <c:v>-2685161.32</c:v>
                </c:pt>
                <c:pt idx="25">
                  <c:v>0</c:v>
                </c:pt>
                <c:pt idx="26">
                  <c:v>0</c:v>
                </c:pt>
                <c:pt idx="27">
                  <c:v>-303876.17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2-4ADD-B2CB-A1CC7D3CF5F9}"/>
            </c:ext>
          </c:extLst>
        </c:ser>
        <c:ser>
          <c:idx val="1"/>
          <c:order val="1"/>
          <c:tx>
            <c:strRef>
              <c:f>'NQ nonlinear'!$L$1</c:f>
              <c:strCache>
                <c:ptCount val="1"/>
                <c:pt idx="0">
                  <c:v>Average of CoH haircut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'NQ nonlinear'!$J$2:$J$36</c:f>
              <c:strCache>
                <c:ptCount val="35"/>
                <c:pt idx="0">
                  <c:v>bearishcall03</c:v>
                </c:pt>
                <c:pt idx="1">
                  <c:v>bearishcall06</c:v>
                </c:pt>
                <c:pt idx="2">
                  <c:v>bearishcall09</c:v>
                </c:pt>
                <c:pt idx="3">
                  <c:v>bearishput03</c:v>
                </c:pt>
                <c:pt idx="4">
                  <c:v>bearishput06</c:v>
                </c:pt>
                <c:pt idx="5">
                  <c:v>bearishput09</c:v>
                </c:pt>
                <c:pt idx="6">
                  <c:v>bullishcall03</c:v>
                </c:pt>
                <c:pt idx="7">
                  <c:v>bullishcall06</c:v>
                </c:pt>
                <c:pt idx="8">
                  <c:v>bullishcall09</c:v>
                </c:pt>
                <c:pt idx="9">
                  <c:v>bullishput03</c:v>
                </c:pt>
                <c:pt idx="10">
                  <c:v>bullishput06</c:v>
                </c:pt>
                <c:pt idx="11">
                  <c:v>bullishput09</c:v>
                </c:pt>
                <c:pt idx="12">
                  <c:v>CS 03call 09call</c:v>
                </c:pt>
                <c:pt idx="13">
                  <c:v>CS 03put 06put</c:v>
                </c:pt>
                <c:pt idx="14">
                  <c:v>CS 06put 03put</c:v>
                </c:pt>
                <c:pt idx="15">
                  <c:v>CS 09call 03call</c:v>
                </c:pt>
                <c:pt idx="16">
                  <c:v>CS 09put 03put</c:v>
                </c:pt>
                <c:pt idx="17">
                  <c:v>CS 12call 03call</c:v>
                </c:pt>
                <c:pt idx="18">
                  <c:v>CS 12call 09call</c:v>
                </c:pt>
                <c:pt idx="19">
                  <c:v>CS 12put 03put</c:v>
                </c:pt>
                <c:pt idx="20">
                  <c:v>DS 06call 03call</c:v>
                </c:pt>
                <c:pt idx="21">
                  <c:v>DS 06call 29k 03call25.75k</c:v>
                </c:pt>
                <c:pt idx="22">
                  <c:v>DS 06call28k 03call21k</c:v>
                </c:pt>
                <c:pt idx="23">
                  <c:v>DS 06call29k 03call27.3k</c:v>
                </c:pt>
                <c:pt idx="24">
                  <c:v>DS 06put 03put</c:v>
                </c:pt>
                <c:pt idx="25">
                  <c:v>DS 09call 03call</c:v>
                </c:pt>
                <c:pt idx="26">
                  <c:v>DS 09put 03put</c:v>
                </c:pt>
                <c:pt idx="27">
                  <c:v>DS 12put 03put</c:v>
                </c:pt>
                <c:pt idx="28">
                  <c:v>straddle06</c:v>
                </c:pt>
                <c:pt idx="29">
                  <c:v>straddle09</c:v>
                </c:pt>
                <c:pt idx="30">
                  <c:v>straddle12</c:v>
                </c:pt>
                <c:pt idx="31">
                  <c:v>straddle2606</c:v>
                </c:pt>
                <c:pt idx="32">
                  <c:v>straddle2609</c:v>
                </c:pt>
                <c:pt idx="33">
                  <c:v>straddle2612</c:v>
                </c:pt>
                <c:pt idx="34">
                  <c:v>straddle6</c:v>
                </c:pt>
              </c:strCache>
            </c:strRef>
          </c:cat>
          <c:val>
            <c:numRef>
              <c:f>'NQ nonlinear'!$L$2:$L$36</c:f>
              <c:numCache>
                <c:formatCode>#,##0.00</c:formatCode>
                <c:ptCount val="35"/>
                <c:pt idx="0">
                  <c:v>-107890.33333333333</c:v>
                </c:pt>
                <c:pt idx="1">
                  <c:v>-204949.33333333334</c:v>
                </c:pt>
                <c:pt idx="2">
                  <c:v>-246455.33333333334</c:v>
                </c:pt>
                <c:pt idx="3">
                  <c:v>-38307.333333333336</c:v>
                </c:pt>
                <c:pt idx="4">
                  <c:v>-292555</c:v>
                </c:pt>
                <c:pt idx="5">
                  <c:v>-84512</c:v>
                </c:pt>
                <c:pt idx="6">
                  <c:v>-276124.33333333331</c:v>
                </c:pt>
                <c:pt idx="7">
                  <c:v>-709255.66666666663</c:v>
                </c:pt>
                <c:pt idx="8">
                  <c:v>-476606.66666666669</c:v>
                </c:pt>
                <c:pt idx="9">
                  <c:v>-272532.33333333331</c:v>
                </c:pt>
                <c:pt idx="10">
                  <c:v>-500355</c:v>
                </c:pt>
                <c:pt idx="11">
                  <c:v>-503165.33333333331</c:v>
                </c:pt>
                <c:pt idx="12">
                  <c:v>-736159</c:v>
                </c:pt>
                <c:pt idx="13">
                  <c:v>-510819</c:v>
                </c:pt>
                <c:pt idx="14">
                  <c:v>-404180</c:v>
                </c:pt>
                <c:pt idx="15">
                  <c:v>-913740</c:v>
                </c:pt>
                <c:pt idx="16">
                  <c:v>-1208518</c:v>
                </c:pt>
                <c:pt idx="17">
                  <c:v>-952524</c:v>
                </c:pt>
                <c:pt idx="18">
                  <c:v>-197525</c:v>
                </c:pt>
                <c:pt idx="19">
                  <c:v>-1334331</c:v>
                </c:pt>
                <c:pt idx="20">
                  <c:v>-550740.5</c:v>
                </c:pt>
                <c:pt idx="21">
                  <c:v>-1465686</c:v>
                </c:pt>
                <c:pt idx="22">
                  <c:v>-2496936</c:v>
                </c:pt>
                <c:pt idx="23">
                  <c:v>-144692</c:v>
                </c:pt>
                <c:pt idx="24">
                  <c:v>-2431652</c:v>
                </c:pt>
                <c:pt idx="25">
                  <c:v>-904405</c:v>
                </c:pt>
                <c:pt idx="26">
                  <c:v>-508901</c:v>
                </c:pt>
                <c:pt idx="27">
                  <c:v>-978193</c:v>
                </c:pt>
                <c:pt idx="28">
                  <c:v>-3037067</c:v>
                </c:pt>
                <c:pt idx="29">
                  <c:v>-2846200</c:v>
                </c:pt>
                <c:pt idx="30">
                  <c:v>-2405629</c:v>
                </c:pt>
                <c:pt idx="31">
                  <c:v>-2826684</c:v>
                </c:pt>
                <c:pt idx="32">
                  <c:v>-2108989</c:v>
                </c:pt>
                <c:pt idx="33">
                  <c:v>-2915334</c:v>
                </c:pt>
                <c:pt idx="34">
                  <c:v>-4336773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2-4ADD-B2CB-A1CC7D3CF5F9}"/>
            </c:ext>
          </c:extLst>
        </c:ser>
        <c:ser>
          <c:idx val="2"/>
          <c:order val="2"/>
          <c:tx>
            <c:strRef>
              <c:f>'NQ nonlinear'!$M$1</c:f>
              <c:strCache>
                <c:ptCount val="1"/>
                <c:pt idx="0">
                  <c:v>Average of CoH haircut with new params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'NQ nonlinear'!$J$2:$J$36</c:f>
              <c:strCache>
                <c:ptCount val="35"/>
                <c:pt idx="0">
                  <c:v>bearishcall03</c:v>
                </c:pt>
                <c:pt idx="1">
                  <c:v>bearishcall06</c:v>
                </c:pt>
                <c:pt idx="2">
                  <c:v>bearishcall09</c:v>
                </c:pt>
                <c:pt idx="3">
                  <c:v>bearishput03</c:v>
                </c:pt>
                <c:pt idx="4">
                  <c:v>bearishput06</c:v>
                </c:pt>
                <c:pt idx="5">
                  <c:v>bearishput09</c:v>
                </c:pt>
                <c:pt idx="6">
                  <c:v>bullishcall03</c:v>
                </c:pt>
                <c:pt idx="7">
                  <c:v>bullishcall06</c:v>
                </c:pt>
                <c:pt idx="8">
                  <c:v>bullishcall09</c:v>
                </c:pt>
                <c:pt idx="9">
                  <c:v>bullishput03</c:v>
                </c:pt>
                <c:pt idx="10">
                  <c:v>bullishput06</c:v>
                </c:pt>
                <c:pt idx="11">
                  <c:v>bullishput09</c:v>
                </c:pt>
                <c:pt idx="12">
                  <c:v>CS 03call 09call</c:v>
                </c:pt>
                <c:pt idx="13">
                  <c:v>CS 03put 06put</c:v>
                </c:pt>
                <c:pt idx="14">
                  <c:v>CS 06put 03put</c:v>
                </c:pt>
                <c:pt idx="15">
                  <c:v>CS 09call 03call</c:v>
                </c:pt>
                <c:pt idx="16">
                  <c:v>CS 09put 03put</c:v>
                </c:pt>
                <c:pt idx="17">
                  <c:v>CS 12call 03call</c:v>
                </c:pt>
                <c:pt idx="18">
                  <c:v>CS 12call 09call</c:v>
                </c:pt>
                <c:pt idx="19">
                  <c:v>CS 12put 03put</c:v>
                </c:pt>
                <c:pt idx="20">
                  <c:v>DS 06call 03call</c:v>
                </c:pt>
                <c:pt idx="21">
                  <c:v>DS 06call 29k 03call25.75k</c:v>
                </c:pt>
                <c:pt idx="22">
                  <c:v>DS 06call28k 03call21k</c:v>
                </c:pt>
                <c:pt idx="23">
                  <c:v>DS 06call29k 03call27.3k</c:v>
                </c:pt>
                <c:pt idx="24">
                  <c:v>DS 06put 03put</c:v>
                </c:pt>
                <c:pt idx="25">
                  <c:v>DS 09call 03call</c:v>
                </c:pt>
                <c:pt idx="26">
                  <c:v>DS 09put 03put</c:v>
                </c:pt>
                <c:pt idx="27">
                  <c:v>DS 12put 03put</c:v>
                </c:pt>
                <c:pt idx="28">
                  <c:v>straddle06</c:v>
                </c:pt>
                <c:pt idx="29">
                  <c:v>straddle09</c:v>
                </c:pt>
                <c:pt idx="30">
                  <c:v>straddle12</c:v>
                </c:pt>
                <c:pt idx="31">
                  <c:v>straddle2606</c:v>
                </c:pt>
                <c:pt idx="32">
                  <c:v>straddle2609</c:v>
                </c:pt>
                <c:pt idx="33">
                  <c:v>straddle2612</c:v>
                </c:pt>
                <c:pt idx="34">
                  <c:v>straddle6</c:v>
                </c:pt>
              </c:strCache>
            </c:strRef>
          </c:cat>
          <c:val>
            <c:numRef>
              <c:f>'NQ nonlinear'!$M$2:$M$36</c:f>
              <c:numCache>
                <c:formatCode>#,##0.00</c:formatCode>
                <c:ptCount val="35"/>
                <c:pt idx="0">
                  <c:v>-106704</c:v>
                </c:pt>
                <c:pt idx="1">
                  <c:v>-206587.33333333334</c:v>
                </c:pt>
                <c:pt idx="2">
                  <c:v>-220540</c:v>
                </c:pt>
                <c:pt idx="3">
                  <c:v>-37926</c:v>
                </c:pt>
                <c:pt idx="4">
                  <c:v>-288294.66666666669</c:v>
                </c:pt>
                <c:pt idx="5">
                  <c:v>-159723</c:v>
                </c:pt>
                <c:pt idx="6">
                  <c:v>-140298.66666666666</c:v>
                </c:pt>
                <c:pt idx="7">
                  <c:v>-624799.33333333337</c:v>
                </c:pt>
                <c:pt idx="8">
                  <c:v>-574217</c:v>
                </c:pt>
                <c:pt idx="9">
                  <c:v>-185336.66666666666</c:v>
                </c:pt>
                <c:pt idx="10">
                  <c:v>-492711</c:v>
                </c:pt>
                <c:pt idx="11">
                  <c:v>-265029.66666666669</c:v>
                </c:pt>
                <c:pt idx="12">
                  <c:v>-445532</c:v>
                </c:pt>
                <c:pt idx="13">
                  <c:v>-368617</c:v>
                </c:pt>
                <c:pt idx="14">
                  <c:v>-339005</c:v>
                </c:pt>
                <c:pt idx="15">
                  <c:v>-578285.5</c:v>
                </c:pt>
                <c:pt idx="16">
                  <c:v>-547996</c:v>
                </c:pt>
                <c:pt idx="17">
                  <c:v>-673568</c:v>
                </c:pt>
                <c:pt idx="18">
                  <c:v>-91516</c:v>
                </c:pt>
                <c:pt idx="19">
                  <c:v>-578903</c:v>
                </c:pt>
                <c:pt idx="20">
                  <c:v>-500076</c:v>
                </c:pt>
                <c:pt idx="21">
                  <c:v>-1483168</c:v>
                </c:pt>
                <c:pt idx="22">
                  <c:v>-2556888</c:v>
                </c:pt>
                <c:pt idx="23">
                  <c:v>-100534</c:v>
                </c:pt>
                <c:pt idx="24">
                  <c:v>-2272839</c:v>
                </c:pt>
                <c:pt idx="25">
                  <c:v>-857419</c:v>
                </c:pt>
                <c:pt idx="26">
                  <c:v>-365511</c:v>
                </c:pt>
                <c:pt idx="27">
                  <c:v>-946593</c:v>
                </c:pt>
                <c:pt idx="28">
                  <c:v>-2859318</c:v>
                </c:pt>
                <c:pt idx="29">
                  <c:v>-2776091</c:v>
                </c:pt>
                <c:pt idx="30">
                  <c:v>-2405154.5</c:v>
                </c:pt>
                <c:pt idx="31">
                  <c:v>-2778616</c:v>
                </c:pt>
                <c:pt idx="32">
                  <c:v>-1956710</c:v>
                </c:pt>
                <c:pt idx="33">
                  <c:v>-2845038</c:v>
                </c:pt>
                <c:pt idx="34">
                  <c:v>-4167890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52-4ADD-B2CB-A1CC7D3CF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846671"/>
        <c:axId val="1581865871"/>
      </c:barChart>
      <c:catAx>
        <c:axId val="158184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65871"/>
        <c:crosses val="autoZero"/>
        <c:auto val="1"/>
        <c:lblAlgn val="ctr"/>
        <c:lblOffset val="100"/>
        <c:noMultiLvlLbl val="0"/>
      </c:catAx>
      <c:valAx>
        <c:axId val="15818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4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NQ non-linear portfolios (line chart)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'NQ nonlinear'!$D$1</c:f>
              <c:strCache>
                <c:ptCount val="1"/>
                <c:pt idx="0">
                  <c:v> CME margin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'NQ nonlinear'!$C$2:$C$63</c:f>
              <c:strCache>
                <c:ptCount val="62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</c:strCache>
            </c:strRef>
          </c:cat>
          <c:val>
            <c:numRef>
              <c:f>'NQ nonlinear'!$D$2:$D$63</c:f>
              <c:numCache>
                <c:formatCode>_-* #,##0.00_-;\-* #,##0.00_-;_-* "-"??_-;_-@_-</c:formatCode>
                <c:ptCount val="62"/>
                <c:pt idx="0">
                  <c:v>-191343.64</c:v>
                </c:pt>
                <c:pt idx="1">
                  <c:v>-2716248.45</c:v>
                </c:pt>
                <c:pt idx="2">
                  <c:v>-2755458.55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-83598.52</c:v>
                </c:pt>
                <c:pt idx="10">
                  <c:v>-1507731.49</c:v>
                </c:pt>
                <c:pt idx="11">
                  <c:v>-1892107.34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-4127722.32</c:v>
                </c:pt>
                <c:pt idx="16">
                  <c:v>-564615.21</c:v>
                </c:pt>
                <c:pt idx="17">
                  <c:v>-2390202.31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-271747.33</c:v>
                </c:pt>
                <c:pt idx="22">
                  <c:v>-892973.2</c:v>
                </c:pt>
                <c:pt idx="23">
                  <c:v>-2745514.08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-289378.34999999998</c:v>
                </c:pt>
                <c:pt idx="28">
                  <c:v>-901065.73</c:v>
                </c:pt>
                <c:pt idx="29">
                  <c:v>-1875858.59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-303876.17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-560498.11</c:v>
                </c:pt>
                <c:pt idx="43">
                  <c:v>-892042.79</c:v>
                </c:pt>
                <c:pt idx="44">
                  <c:v>-2786255.13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-561134.23</c:v>
                </c:pt>
                <c:pt idx="52">
                  <c:v>-1755808.58</c:v>
                </c:pt>
                <c:pt idx="53">
                  <c:v>-931928.17</c:v>
                </c:pt>
                <c:pt idx="54">
                  <c:v>-4731.8100000000004</c:v>
                </c:pt>
                <c:pt idx="55">
                  <c:v>-1309706.06</c:v>
                </c:pt>
                <c:pt idx="56">
                  <c:v>-2969606.16</c:v>
                </c:pt>
                <c:pt idx="57">
                  <c:v>-603500.06999999995</c:v>
                </c:pt>
                <c:pt idx="58">
                  <c:v>-2685161.32</c:v>
                </c:pt>
                <c:pt idx="59">
                  <c:v>-10359711.869999999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F-4F0D-9E90-17CAC74B3F1C}"/>
            </c:ext>
          </c:extLst>
        </c:ser>
        <c:ser>
          <c:idx val="1"/>
          <c:order val="1"/>
          <c:tx>
            <c:strRef>
              <c:f>'NQ nonlinear'!$E$1</c:f>
              <c:strCache>
                <c:ptCount val="1"/>
                <c:pt idx="0">
                  <c:v> CoH haircut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'NQ nonlinear'!$C$2:$C$63</c:f>
              <c:strCache>
                <c:ptCount val="62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</c:strCache>
            </c:strRef>
          </c:cat>
          <c:val>
            <c:numRef>
              <c:f>'NQ nonlinear'!$E$2:$E$63</c:f>
              <c:numCache>
                <c:formatCode>_-* #,##0.00_-;\-* #,##0.00_-;_-* "-"??_-;_-@_-</c:formatCode>
                <c:ptCount val="62"/>
                <c:pt idx="0">
                  <c:v>-42932</c:v>
                </c:pt>
                <c:pt idx="1">
                  <c:v>-352662</c:v>
                </c:pt>
                <c:pt idx="2">
                  <c:v>-246489</c:v>
                </c:pt>
                <c:pt idx="3">
                  <c:v>-20182</c:v>
                </c:pt>
                <c:pt idx="4">
                  <c:v>-128563</c:v>
                </c:pt>
                <c:pt idx="5">
                  <c:v>-69598</c:v>
                </c:pt>
                <c:pt idx="6">
                  <c:v>-190536</c:v>
                </c:pt>
                <c:pt idx="7">
                  <c:v>-688662</c:v>
                </c:pt>
                <c:pt idx="8">
                  <c:v>-459958</c:v>
                </c:pt>
                <c:pt idx="9">
                  <c:v>-61597</c:v>
                </c:pt>
                <c:pt idx="10">
                  <c:v>-679564</c:v>
                </c:pt>
                <c:pt idx="11">
                  <c:v>-297865</c:v>
                </c:pt>
                <c:pt idx="12">
                  <c:v>-745990</c:v>
                </c:pt>
                <c:pt idx="13">
                  <c:v>-724758</c:v>
                </c:pt>
                <c:pt idx="14">
                  <c:v>-850252</c:v>
                </c:pt>
                <c:pt idx="15">
                  <c:v>-1056073</c:v>
                </c:pt>
                <c:pt idx="16">
                  <c:v>-144692</c:v>
                </c:pt>
                <c:pt idx="17">
                  <c:v>-1465686</c:v>
                </c:pt>
                <c:pt idx="18">
                  <c:v>-2915334</c:v>
                </c:pt>
                <c:pt idx="19">
                  <c:v>-2108989</c:v>
                </c:pt>
                <c:pt idx="20">
                  <c:v>-2826684</c:v>
                </c:pt>
                <c:pt idx="21">
                  <c:v>-106418</c:v>
                </c:pt>
                <c:pt idx="22">
                  <c:v>-130704</c:v>
                </c:pt>
                <c:pt idx="23">
                  <c:v>-262760</c:v>
                </c:pt>
                <c:pt idx="24">
                  <c:v>-36767</c:v>
                </c:pt>
                <c:pt idx="25">
                  <c:v>-432005</c:v>
                </c:pt>
                <c:pt idx="26">
                  <c:v>-131345</c:v>
                </c:pt>
                <c:pt idx="27">
                  <c:v>-173607</c:v>
                </c:pt>
                <c:pt idx="28">
                  <c:v>-781979</c:v>
                </c:pt>
                <c:pt idx="29">
                  <c:v>-658100</c:v>
                </c:pt>
                <c:pt idx="30">
                  <c:v>-175301</c:v>
                </c:pt>
                <c:pt idx="31">
                  <c:v>-268971</c:v>
                </c:pt>
                <c:pt idx="32">
                  <c:v>-330654</c:v>
                </c:pt>
                <c:pt idx="33">
                  <c:v>-756593</c:v>
                </c:pt>
                <c:pt idx="34">
                  <c:v>-952524</c:v>
                </c:pt>
                <c:pt idx="35">
                  <c:v>-404180</c:v>
                </c:pt>
                <c:pt idx="36">
                  <c:v>-904405</c:v>
                </c:pt>
                <c:pt idx="37">
                  <c:v>-508901</c:v>
                </c:pt>
                <c:pt idx="38">
                  <c:v>-978193</c:v>
                </c:pt>
                <c:pt idx="39">
                  <c:v>-2846200</c:v>
                </c:pt>
                <c:pt idx="40">
                  <c:v>-1749160</c:v>
                </c:pt>
                <c:pt idx="41">
                  <c:v>-3037067</c:v>
                </c:pt>
                <c:pt idx="42">
                  <c:v>-174321</c:v>
                </c:pt>
                <c:pt idx="43">
                  <c:v>-131482</c:v>
                </c:pt>
                <c:pt idx="44">
                  <c:v>-230117</c:v>
                </c:pt>
                <c:pt idx="45">
                  <c:v>-57973</c:v>
                </c:pt>
                <c:pt idx="46">
                  <c:v>-273604</c:v>
                </c:pt>
                <c:pt idx="47">
                  <c:v>-317097</c:v>
                </c:pt>
                <c:pt idx="48">
                  <c:v>-52593</c:v>
                </c:pt>
                <c:pt idx="49">
                  <c:v>-464230</c:v>
                </c:pt>
                <c:pt idx="50">
                  <c:v>-657126</c:v>
                </c:pt>
                <c:pt idx="51">
                  <c:v>-311762</c:v>
                </c:pt>
                <c:pt idx="52">
                  <c:v>-578017</c:v>
                </c:pt>
                <c:pt idx="53">
                  <c:v>-177645</c:v>
                </c:pt>
                <c:pt idx="54">
                  <c:v>-197525</c:v>
                </c:pt>
                <c:pt idx="55">
                  <c:v>-510819</c:v>
                </c:pt>
                <c:pt idx="56">
                  <c:v>-736159</c:v>
                </c:pt>
                <c:pt idx="57">
                  <c:v>-45408</c:v>
                </c:pt>
                <c:pt idx="58">
                  <c:v>-2431652</c:v>
                </c:pt>
                <c:pt idx="59">
                  <c:v>-2496936</c:v>
                </c:pt>
                <c:pt idx="60">
                  <c:v>-3062098</c:v>
                </c:pt>
                <c:pt idx="61">
                  <c:v>-4336773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F-4F0D-9E90-17CAC74B3F1C}"/>
            </c:ext>
          </c:extLst>
        </c:ser>
        <c:ser>
          <c:idx val="2"/>
          <c:order val="2"/>
          <c:tx>
            <c:strRef>
              <c:f>'NQ nonlinear'!$F$1</c:f>
              <c:strCache>
                <c:ptCount val="1"/>
                <c:pt idx="0">
                  <c:v> CoH haircut with new params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'NQ nonlinear'!$C$2:$C$63</c:f>
              <c:strCache>
                <c:ptCount val="62"/>
                <c:pt idx="0">
                  <c:v>portfolio1</c:v>
                </c:pt>
                <c:pt idx="1">
                  <c:v>portfolio2</c:v>
                </c:pt>
                <c:pt idx="2">
                  <c:v>portfolio3</c:v>
                </c:pt>
                <c:pt idx="3">
                  <c:v>portfolio4</c:v>
                </c:pt>
                <c:pt idx="4">
                  <c:v>portfolio5</c:v>
                </c:pt>
                <c:pt idx="5">
                  <c:v>portfolio6</c:v>
                </c:pt>
                <c:pt idx="6">
                  <c:v>portfolio7</c:v>
                </c:pt>
                <c:pt idx="7">
                  <c:v>portfolio8</c:v>
                </c:pt>
                <c:pt idx="8">
                  <c:v>portfolio9</c:v>
                </c:pt>
                <c:pt idx="9">
                  <c:v>portfolio10</c:v>
                </c:pt>
                <c:pt idx="10">
                  <c:v>portfolio11</c:v>
                </c:pt>
                <c:pt idx="11">
                  <c:v>portfolio12</c:v>
                </c:pt>
                <c:pt idx="12">
                  <c:v>portfolio13</c:v>
                </c:pt>
                <c:pt idx="13">
                  <c:v>portfolio14</c:v>
                </c:pt>
                <c:pt idx="14">
                  <c:v>portfolio15</c:v>
                </c:pt>
                <c:pt idx="15">
                  <c:v>portfolio16</c:v>
                </c:pt>
                <c:pt idx="16">
                  <c:v>portfolio17</c:v>
                </c:pt>
                <c:pt idx="17">
                  <c:v>portfolio18</c:v>
                </c:pt>
                <c:pt idx="18">
                  <c:v>portfolio19</c:v>
                </c:pt>
                <c:pt idx="19">
                  <c:v>portfolio20</c:v>
                </c:pt>
                <c:pt idx="20">
                  <c:v>portfolio21</c:v>
                </c:pt>
                <c:pt idx="21">
                  <c:v>portfolio22</c:v>
                </c:pt>
                <c:pt idx="22">
                  <c:v>portfolio23</c:v>
                </c:pt>
                <c:pt idx="23">
                  <c:v>portfolio24</c:v>
                </c:pt>
                <c:pt idx="24">
                  <c:v>portfolio25</c:v>
                </c:pt>
                <c:pt idx="25">
                  <c:v>portfolio26</c:v>
                </c:pt>
                <c:pt idx="26">
                  <c:v>portfolio27</c:v>
                </c:pt>
                <c:pt idx="27">
                  <c:v>portfolio28</c:v>
                </c:pt>
                <c:pt idx="28">
                  <c:v>portfolio29</c:v>
                </c:pt>
                <c:pt idx="29">
                  <c:v>portfolio30</c:v>
                </c:pt>
                <c:pt idx="30">
                  <c:v>portfolio31</c:v>
                </c:pt>
                <c:pt idx="31">
                  <c:v>portfolio32</c:v>
                </c:pt>
                <c:pt idx="32">
                  <c:v>portfolio33</c:v>
                </c:pt>
                <c:pt idx="33">
                  <c:v>portfolio34</c:v>
                </c:pt>
                <c:pt idx="34">
                  <c:v>portfolio35</c:v>
                </c:pt>
                <c:pt idx="35">
                  <c:v>portfolio36</c:v>
                </c:pt>
                <c:pt idx="36">
                  <c:v>portfolio37</c:v>
                </c:pt>
                <c:pt idx="37">
                  <c:v>portfolio38</c:v>
                </c:pt>
                <c:pt idx="38">
                  <c:v>portfolio39</c:v>
                </c:pt>
                <c:pt idx="39">
                  <c:v>portfolio40</c:v>
                </c:pt>
                <c:pt idx="40">
                  <c:v>portfolio41</c:v>
                </c:pt>
                <c:pt idx="41">
                  <c:v>portfolio42</c:v>
                </c:pt>
                <c:pt idx="42">
                  <c:v>portfolio43</c:v>
                </c:pt>
                <c:pt idx="43">
                  <c:v>portfolio44</c:v>
                </c:pt>
                <c:pt idx="44">
                  <c:v>portfolio45</c:v>
                </c:pt>
                <c:pt idx="45">
                  <c:v>portfolio46</c:v>
                </c:pt>
                <c:pt idx="46">
                  <c:v>portfolio47</c:v>
                </c:pt>
                <c:pt idx="47">
                  <c:v>portfolio48</c:v>
                </c:pt>
                <c:pt idx="48">
                  <c:v>portfolio49</c:v>
                </c:pt>
                <c:pt idx="49">
                  <c:v>portfolio50</c:v>
                </c:pt>
                <c:pt idx="50">
                  <c:v>portfolio51</c:v>
                </c:pt>
                <c:pt idx="51">
                  <c:v>portfolio52</c:v>
                </c:pt>
                <c:pt idx="52">
                  <c:v>portfolio53</c:v>
                </c:pt>
                <c:pt idx="53">
                  <c:v>portfolio54</c:v>
                </c:pt>
                <c:pt idx="54">
                  <c:v>portfolio55</c:v>
                </c:pt>
                <c:pt idx="55">
                  <c:v>portfolio56</c:v>
                </c:pt>
                <c:pt idx="56">
                  <c:v>portfolio57</c:v>
                </c:pt>
                <c:pt idx="57">
                  <c:v>portfolio58</c:v>
                </c:pt>
                <c:pt idx="58">
                  <c:v>portfolio59</c:v>
                </c:pt>
                <c:pt idx="59">
                  <c:v>portfolio60</c:v>
                </c:pt>
                <c:pt idx="60">
                  <c:v>portfolio61</c:v>
                </c:pt>
                <c:pt idx="61">
                  <c:v>portfolio62</c:v>
                </c:pt>
              </c:strCache>
            </c:strRef>
          </c:cat>
          <c:val>
            <c:numRef>
              <c:f>'NQ nonlinear'!$F$2:$F$63</c:f>
              <c:numCache>
                <c:formatCode>_-* #,##0.00_-;\-* #,##0.00_-;_-* "-"??_-;_-@_-</c:formatCode>
                <c:ptCount val="62"/>
                <c:pt idx="0">
                  <c:v>-42535</c:v>
                </c:pt>
                <c:pt idx="1">
                  <c:v>-349444</c:v>
                </c:pt>
                <c:pt idx="2">
                  <c:v>-216849</c:v>
                </c:pt>
                <c:pt idx="3">
                  <c:v>-20162</c:v>
                </c:pt>
                <c:pt idx="4">
                  <c:v>-129073</c:v>
                </c:pt>
                <c:pt idx="5">
                  <c:v>-61443</c:v>
                </c:pt>
                <c:pt idx="6">
                  <c:v>-189079</c:v>
                </c:pt>
                <c:pt idx="7">
                  <c:v>-638197</c:v>
                </c:pt>
                <c:pt idx="8">
                  <c:v>-449361</c:v>
                </c:pt>
                <c:pt idx="9">
                  <c:v>-61873</c:v>
                </c:pt>
                <c:pt idx="10">
                  <c:v>-642581</c:v>
                </c:pt>
                <c:pt idx="11">
                  <c:v>-289208</c:v>
                </c:pt>
                <c:pt idx="12">
                  <c:v>-567286</c:v>
                </c:pt>
                <c:pt idx="13">
                  <c:v>-547996</c:v>
                </c:pt>
                <c:pt idx="14">
                  <c:v>-578903</c:v>
                </c:pt>
                <c:pt idx="15">
                  <c:v>-975755</c:v>
                </c:pt>
                <c:pt idx="16">
                  <c:v>-100534</c:v>
                </c:pt>
                <c:pt idx="17">
                  <c:v>-1483168</c:v>
                </c:pt>
                <c:pt idx="18">
                  <c:v>-2845038</c:v>
                </c:pt>
                <c:pt idx="19">
                  <c:v>-1956710</c:v>
                </c:pt>
                <c:pt idx="20">
                  <c:v>-2778616</c:v>
                </c:pt>
                <c:pt idx="21" formatCode="#,##0">
                  <c:v>-102277</c:v>
                </c:pt>
                <c:pt idx="22">
                  <c:v>-132351</c:v>
                </c:pt>
                <c:pt idx="23">
                  <c:v>-239504</c:v>
                </c:pt>
                <c:pt idx="24">
                  <c:v>-35308</c:v>
                </c:pt>
                <c:pt idx="25">
                  <c:v>-445491</c:v>
                </c:pt>
                <c:pt idx="26">
                  <c:v>-113961</c:v>
                </c:pt>
                <c:pt idx="27">
                  <c:v>-178645</c:v>
                </c:pt>
                <c:pt idx="28">
                  <c:v>-772941</c:v>
                </c:pt>
                <c:pt idx="29">
                  <c:v>-637515</c:v>
                </c:pt>
                <c:pt idx="30">
                  <c:v>-179546</c:v>
                </c:pt>
                <c:pt idx="31">
                  <c:v>-266935</c:v>
                </c:pt>
                <c:pt idx="32">
                  <c:v>-328238</c:v>
                </c:pt>
                <c:pt idx="33">
                  <c:v>-589285</c:v>
                </c:pt>
                <c:pt idx="34">
                  <c:v>-673568</c:v>
                </c:pt>
                <c:pt idx="35">
                  <c:v>-339005</c:v>
                </c:pt>
                <c:pt idx="36">
                  <c:v>-857419</c:v>
                </c:pt>
                <c:pt idx="37">
                  <c:v>-365511</c:v>
                </c:pt>
                <c:pt idx="38">
                  <c:v>-946593</c:v>
                </c:pt>
                <c:pt idx="39">
                  <c:v>-2776091</c:v>
                </c:pt>
                <c:pt idx="40">
                  <c:v>-1782763</c:v>
                </c:pt>
                <c:pt idx="41">
                  <c:v>-2859318</c:v>
                </c:pt>
                <c:pt idx="42">
                  <c:v>-175300</c:v>
                </c:pt>
                <c:pt idx="43">
                  <c:v>-137967</c:v>
                </c:pt>
                <c:pt idx="44">
                  <c:v>-205267</c:v>
                </c:pt>
                <c:pt idx="45">
                  <c:v>-58308</c:v>
                </c:pt>
                <c:pt idx="46">
                  <c:v>-290320</c:v>
                </c:pt>
                <c:pt idx="47">
                  <c:v>-303765</c:v>
                </c:pt>
                <c:pt idx="48">
                  <c:v>-53172</c:v>
                </c:pt>
                <c:pt idx="49">
                  <c:v>-463260</c:v>
                </c:pt>
                <c:pt idx="50">
                  <c:v>-635775</c:v>
                </c:pt>
                <c:pt idx="51">
                  <c:v>-314591</c:v>
                </c:pt>
                <c:pt idx="52">
                  <c:v>-568617</c:v>
                </c:pt>
                <c:pt idx="53">
                  <c:v>-177643</c:v>
                </c:pt>
                <c:pt idx="54">
                  <c:v>-191516</c:v>
                </c:pt>
                <c:pt idx="55">
                  <c:v>-368617</c:v>
                </c:pt>
                <c:pt idx="56">
                  <c:v>-459380</c:v>
                </c:pt>
                <c:pt idx="57">
                  <c:v>-24397</c:v>
                </c:pt>
                <c:pt idx="58">
                  <c:v>-2272839</c:v>
                </c:pt>
                <c:pt idx="59">
                  <c:v>-2556888</c:v>
                </c:pt>
                <c:pt idx="60">
                  <c:v>-3027546</c:v>
                </c:pt>
                <c:pt idx="61">
                  <c:v>-4167890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1F-4F0D-9E90-17CAC74B3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055248"/>
        <c:axId val="806056208"/>
      </c:lineChart>
      <c:catAx>
        <c:axId val="80605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56208"/>
        <c:crosses val="autoZero"/>
        <c:auto val="1"/>
        <c:lblAlgn val="ctr"/>
        <c:lblOffset val="100"/>
        <c:noMultiLvlLbl val="0"/>
      </c:catAx>
      <c:valAx>
        <c:axId val="80605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5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364807</xdr:colOff>
      <xdr:row>20</xdr:row>
      <xdr:rowOff>15240</xdr:rowOff>
    </xdr:from>
    <xdr:to>
      <xdr:col>5</xdr:col>
      <xdr:colOff>1733550</xdr:colOff>
      <xdr:row>40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A9E6B-9E7B-E3E7-FFC0-067CA0AEA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454026</xdr:colOff>
      <xdr:row>0</xdr:row>
      <xdr:rowOff>0</xdr:rowOff>
    </xdr:from>
    <xdr:to>
      <xdr:col>24</xdr:col>
      <xdr:colOff>847726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745E7-129E-89A7-8A1D-126EABB92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895561</xdr:colOff>
      <xdr:row>25</xdr:row>
      <xdr:rowOff>54823</xdr:rowOff>
    </xdr:from>
    <xdr:to>
      <xdr:col>9</xdr:col>
      <xdr:colOff>634999</xdr:colOff>
      <xdr:row>49</xdr:row>
      <xdr:rowOff>21166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88528C-5F30-E2E8-99C3-3C402ABE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568325</xdr:colOff>
      <xdr:row>1</xdr:row>
      <xdr:rowOff>1587</xdr:rowOff>
    </xdr:from>
    <xdr:to>
      <xdr:col>25</xdr:col>
      <xdr:colOff>161925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F8B78B-25EB-74D4-B646-558A92BCE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479634</xdr:colOff>
      <xdr:row>70</xdr:row>
      <xdr:rowOff>76834</xdr:rowOff>
    </xdr:from>
    <xdr:to>
      <xdr:col>23</xdr:col>
      <xdr:colOff>656167</xdr:colOff>
      <xdr:row>98</xdr:row>
      <xdr:rowOff>52917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1D7DCE-C82B-8E42-AD85-6431F8A6E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476250</xdr:colOff>
      <xdr:row>42</xdr:row>
      <xdr:rowOff>55880</xdr:rowOff>
    </xdr:from>
    <xdr:to>
      <xdr:col>24</xdr:col>
      <xdr:colOff>3809</xdr:colOff>
      <xdr:row>67</xdr:row>
      <xdr:rowOff>35559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2D1CA1-4797-58A4-E32A-93631C3D5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590232</xdr:colOff>
      <xdr:row>18</xdr:row>
      <xdr:rowOff>174413</xdr:rowOff>
    </xdr:from>
    <xdr:to>
      <xdr:col>8</xdr:col>
      <xdr:colOff>31750</xdr:colOff>
      <xdr:row>40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A043C-D804-5F2D-1F25-A7AF901AA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263842</xdr:colOff>
      <xdr:row>11</xdr:row>
      <xdr:rowOff>89534</xdr:rowOff>
    </xdr:from>
    <xdr:to>
      <xdr:col>8</xdr:col>
      <xdr:colOff>275167</xdr:colOff>
      <xdr:row>34</xdr:row>
      <xdr:rowOff>44237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C2522-EE3C-BAF8-A00B-DB9DC7FB4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160866</xdr:colOff>
      <xdr:row>9</xdr:row>
      <xdr:rowOff>12699</xdr:rowOff>
    </xdr:from>
    <xdr:to>
      <xdr:col>12</xdr:col>
      <xdr:colOff>1648883</xdr:colOff>
      <xdr:row>24</xdr:row>
      <xdr:rowOff>50799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C4C147-296C-4BDF-13ED-839772914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522707</xdr:colOff>
      <xdr:row>30</xdr:row>
      <xdr:rowOff>132079</xdr:rowOff>
    </xdr:from>
    <xdr:to>
      <xdr:col>19</xdr:col>
      <xdr:colOff>645582</xdr:colOff>
      <xdr:row>60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66F87-CD41-2BAF-11C4-738297FBA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73025</xdr:colOff>
      <xdr:row>1</xdr:row>
      <xdr:rowOff>17462</xdr:rowOff>
    </xdr:from>
    <xdr:to>
      <xdr:col>24</xdr:col>
      <xdr:colOff>590550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95CAE0-BEB7-8825-A0D9-75AFA6C6A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510116</xdr:colOff>
      <xdr:row>62</xdr:row>
      <xdr:rowOff>58630</xdr:rowOff>
    </xdr:from>
    <xdr:to>
      <xdr:col>20</xdr:col>
      <xdr:colOff>14393</xdr:colOff>
      <xdr:row>94</xdr:row>
      <xdr:rowOff>21166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302CDA-B423-98AF-1250-90608C753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bitarte Lopez, Olga" refreshedDate="46100.451169791668" createdVersion="8" refreshedVersion="8" minRefreshableVersion="3" recordCount="20" xr:uid="{0A14DBA8-E3D3-49E7-BC6F-96B5813B7BB9}">
  <cacheSource type="worksheet">
    <worksheetSource ref="A1:G21" sheet="ES mixed"/>
  </cacheSource>
  <cacheFields count="7">
    <cacheField name="Date" numFmtId="14">
      <sharedItems containsSemiMixedTypes="0" containsNonDate="0" containsDate="1" containsString="0" minDate="2026-02-25T00:00:00" maxDate="2027-02-28T00:00:00"/>
    </cacheField>
    <cacheField name="Note" numFmtId="0">
      <sharedItems count="9">
        <s v="cc03"/>
        <s v="cc06"/>
        <s v="cc09"/>
        <s v="dn03"/>
        <s v="dn06"/>
        <s v="dn09"/>
        <s v="pp03"/>
        <s v="pp06"/>
        <s v="pp09"/>
      </sharedItems>
    </cacheField>
    <cacheField name="Portfolio" numFmtId="0">
      <sharedItems/>
    </cacheField>
    <cacheField name="CME margin" numFmtId="164">
      <sharedItems containsSemiMixedTypes="0" containsString="0" containsNumber="1" minValue="-23349833.870000001" maxValue="-154654.98000000001"/>
    </cacheField>
    <cacheField name="CoH haircut" numFmtId="164">
      <sharedItems containsSemiMixedTypes="0" containsString="0" containsNumber="1" containsInteger="1" minValue="-26840655" maxValue="-428992"/>
    </cacheField>
    <cacheField name="CoH haircut with new params" numFmtId="164">
      <sharedItems containsSemiMixedTypes="0" containsString="0" containsNumber="1" containsInteger="1" minValue="-16481862" maxValue="-341941"/>
    </cacheField>
    <cacheField name="Rep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bitarte Lopez, Olga" refreshedDate="46100.45121712963" createdVersion="8" refreshedVersion="8" minRefreshableVersion="3" recordCount="66" xr:uid="{778A9854-1501-4F49-8464-C26B95224294}">
  <cacheSource type="worksheet">
    <worksheetSource ref="A1:H67" sheet="ES nonlinear"/>
  </cacheSource>
  <cacheFields count="8">
    <cacheField name="Date" numFmtId="14">
      <sharedItems containsSemiMixedTypes="0" containsNonDate="0" containsDate="1" containsString="0" minDate="2026-02-25T00:00:00" maxDate="2026-02-28T00:00:00"/>
    </cacheField>
    <cacheField name="Note" numFmtId="0">
      <sharedItems count="36">
        <s v="bearishcall03"/>
        <s v="bearishcall06"/>
        <s v="bearishcall09"/>
        <s v="bearishput03"/>
        <s v="bearishput06"/>
        <s v="bearishput09"/>
        <s v="bullishcall03"/>
        <s v="bullishcall06"/>
        <s v="bullishcall09"/>
        <s v="bullishput03"/>
        <s v="bullishput06"/>
        <s v="bullishput09"/>
        <s v="CS 06call7450 03call6330"/>
        <s v="CS 06put5900 03put5900"/>
        <s v="CS 09call7200 03call7200"/>
        <s v="DS 09put 03 put "/>
        <s v="DS 2703call 2603call "/>
        <s v="DS 03call 12call "/>
        <s v="long straddle 2912"/>
        <s v="long straddle 2712"/>
        <s v="long straddle 2606"/>
        <s v="CS 09call 03call"/>
        <s v="CS 12call 03call"/>
        <s v="CS 06call 03call"/>
        <s v="DS 09call 03 call"/>
        <s v="DS 09put 03put"/>
        <s v="straddle 2606"/>
        <s v="straddle 2712"/>
        <s v="straddle 2912"/>
        <s v="straddle 2609"/>
        <s v="strangle 2606"/>
        <s v="strangle 2612"/>
        <s v="CS 12put 09put"/>
        <s v="CS 06put 03put"/>
        <s v="DS 06call 03call"/>
        <s v="straddle 2706"/>
      </sharedItems>
    </cacheField>
    <cacheField name="portfolio" numFmtId="0">
      <sharedItems/>
    </cacheField>
    <cacheField name="CME margin" numFmtId="164">
      <sharedItems containsString="0" containsBlank="1" containsNumber="1" minValue="-4202638.22" maxValue="0"/>
    </cacheField>
    <cacheField name="CoH haircut" numFmtId="0">
      <sharedItems containsSemiMixedTypes="0" containsString="0" containsNumber="1" containsInteger="1" minValue="-2760622" maxValue="-7569"/>
    </cacheField>
    <cacheField name="CoH haircut with new params" numFmtId="164">
      <sharedItems containsString="0" containsBlank="1" containsNumber="1" containsInteger="1" minValue="-2564021" maxValue="587508"/>
    </cacheField>
    <cacheField name="margin " numFmtId="164">
      <sharedItems containsString="0" containsBlank="1" containsNumber="1" minValue="1659.01" maxValue="26049673.620000001"/>
    </cacheField>
    <cacheField name="Repor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bitarte Lopez, Olga" refreshedDate="46100.451412615737" createdVersion="8" refreshedVersion="8" minRefreshableVersion="3" recordCount="9" xr:uid="{8C62B8DD-9A23-48C4-B38B-C4338D3E045C}">
  <cacheSource type="worksheet">
    <worksheetSource ref="A1:G10" sheet="NQ mixed"/>
  </cacheSource>
  <cacheFields count="7">
    <cacheField name="Date" numFmtId="14">
      <sharedItems containsSemiMixedTypes="0" containsNonDate="0" containsDate="1" containsString="0" minDate="2026-02-25T00:00:00" maxDate="2027-02-28T00:00:00"/>
    </cacheField>
    <cacheField name="Note" numFmtId="0">
      <sharedItems count="3">
        <s v="cc03"/>
        <s v="cc06"/>
        <s v="cc09"/>
      </sharedItems>
    </cacheField>
    <cacheField name="Portfolio" numFmtId="0">
      <sharedItems/>
    </cacheField>
    <cacheField name="CME margin" numFmtId="164">
      <sharedItems containsSemiMixedTypes="0" containsString="0" containsNumber="1" minValue="-21733963.199999999" maxValue="-3726545.42"/>
    </cacheField>
    <cacheField name="CoH haircut" numFmtId="0">
      <sharedItems containsSemiMixedTypes="0" containsString="0" containsNumber="1" containsInteger="1" minValue="-4327647" maxValue="-337566"/>
    </cacheField>
    <cacheField name="CoH haircut with new params" numFmtId="0">
      <sharedItems containsSemiMixedTypes="0" containsString="0" containsNumber="1" containsInteger="1" minValue="-4195164" maxValue="-189639"/>
    </cacheField>
    <cacheField name="Rep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bitarte Lopez, Olga" refreshedDate="46100.451829282407" createdVersion="8" refreshedVersion="8" minRefreshableVersion="3" recordCount="62" xr:uid="{D7BC5EE3-53DD-470E-BE7E-BA6336C25325}">
  <cacheSource type="worksheet">
    <worksheetSource ref="A1:H63" sheet="NQ nonlinear"/>
  </cacheSource>
  <cacheFields count="8">
    <cacheField name="Date" numFmtId="14">
      <sharedItems containsSemiMixedTypes="0" containsNonDate="0" containsDate="1" containsString="0" minDate="2026-02-25T00:00:00" maxDate="2026-02-28T00:00:00"/>
    </cacheField>
    <cacheField name="Note" numFmtId="0">
      <sharedItems count="35">
        <s v="bearishcall03"/>
        <s v="bearishcall06"/>
        <s v="bearishcall09"/>
        <s v="bearishput03"/>
        <s v="bearishput06"/>
        <s v="bearishput09"/>
        <s v="bullishcall03"/>
        <s v="bullishcall06"/>
        <s v="bullishcall09"/>
        <s v="bullishput03"/>
        <s v="bullishput06"/>
        <s v="bullishput09"/>
        <s v="CS 09put 03put"/>
        <s v="CS 09call 03call"/>
        <s v="CS 12put 03put"/>
        <s v="DS 06call 03call"/>
        <s v="DS 06call29k 03call27.3k"/>
        <s v="DS 06call 29k 03call25.75k"/>
        <s v="straddle2612"/>
        <s v="straddle2609"/>
        <s v="straddle2606"/>
        <s v="CS 12call 03call"/>
        <s v="CS 06put 03put"/>
        <s v="DS 09call 03call"/>
        <s v="DS 09put 03put"/>
        <s v="DS 12put 03put"/>
        <s v="straddle09"/>
        <s v="straddle12"/>
        <s v="straddle06"/>
        <s v="CS 12call 09call"/>
        <s v="CS 03put 06put"/>
        <s v="CS 03call 09call"/>
        <s v="DS 06put 03put"/>
        <s v="DS 06call28k 03call21k"/>
        <s v="straddle6"/>
      </sharedItems>
    </cacheField>
    <cacheField name="Portfolio" numFmtId="0">
      <sharedItems/>
    </cacheField>
    <cacheField name="CME margin" numFmtId="164">
      <sharedItems containsSemiMixedTypes="0" containsString="0" containsNumber="1" minValue="-10359711.869999999" maxValue="0"/>
    </cacheField>
    <cacheField name="CoH haircut" numFmtId="164">
      <sharedItems containsSemiMixedTypes="0" containsString="0" containsNumber="1" containsInteger="1" minValue="-4336773" maxValue="-20182"/>
    </cacheField>
    <cacheField name="CoH haircut with new params" numFmtId="164">
      <sharedItems containsSemiMixedTypes="0" containsString="0" containsNumber="1" containsInteger="1" minValue="-4167890" maxValue="-20162"/>
    </cacheField>
    <cacheField name="margin " numFmtId="164">
      <sharedItems containsString="0" containsBlank="1" containsNumber="1" minValue="3805.84" maxValue="21769021.18"/>
    </cacheField>
    <cacheField name="Rep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2-25T00:00:00"/>
    <x v="0"/>
    <s v="portfolio 1"/>
    <n v="-2418340.73"/>
    <n v="-2461133"/>
    <n v="-2170907"/>
    <s v="DEF.CTEST.1.16-20260225.pdf"/>
  </r>
  <r>
    <d v="2026-02-25T00:00:00"/>
    <x v="1"/>
    <s v="portfolio 2"/>
    <n v="-2442395.69"/>
    <n v="-2698848"/>
    <n v="-2496396"/>
    <s v="DEF.CTEST.1.17-20260225.pdf"/>
  </r>
  <r>
    <d v="2026-02-25T00:00:00"/>
    <x v="2"/>
    <s v="portfolio 3"/>
    <n v="-3108850.22"/>
    <n v="-2033493"/>
    <n v="-1841759"/>
    <s v="DEF.CTEST.1.18-20260225.pdf"/>
  </r>
  <r>
    <d v="2026-02-25T00:00:00"/>
    <x v="3"/>
    <s v="portfolio 4"/>
    <n v="-23349833.870000001"/>
    <n v="-26840655"/>
    <n v="-16481862"/>
    <s v="DEF.CTEST.1.19-20260225.pdf"/>
  </r>
  <r>
    <d v="2026-02-25T00:00:00"/>
    <x v="4"/>
    <s v="portfolio 5"/>
    <n v="-14143753.18"/>
    <n v="-11214978"/>
    <n v="-9201999"/>
    <s v="DEF.CTEST.1.20-20260225.pdf"/>
  </r>
  <r>
    <d v="2026-02-25T00:00:00"/>
    <x v="5"/>
    <s v="portfolio 6"/>
    <n v="-13550827.27"/>
    <n v="-9803965"/>
    <n v="-8586385"/>
    <s v="DEF.CTEST.1.21-20260225.pdf"/>
  </r>
  <r>
    <d v="2026-02-25T00:00:00"/>
    <x v="6"/>
    <s v="portfolio 7"/>
    <n v="-1518813.98"/>
    <n v="-1954812"/>
    <n v="-1892703"/>
    <s v="DEF.CTEST.1.39-20260225.pdf"/>
  </r>
  <r>
    <d v="2026-02-25T00:00:00"/>
    <x v="7"/>
    <s v="portfolio 8"/>
    <n v="-2148771.94"/>
    <n v="-2474560"/>
    <n v="-2319222"/>
    <s v="DEF.CTEST.1.40-20260225.pdf"/>
  </r>
  <r>
    <d v="2026-02-25T00:00:00"/>
    <x v="8"/>
    <s v="portfolio 9"/>
    <n v="-154654.98000000001"/>
    <n v="-1559557"/>
    <n v="-1496691"/>
    <s v="DEF.CTEST.1.41-20260225.pdf"/>
  </r>
  <r>
    <d v="2026-02-26T00:00:00"/>
    <x v="0"/>
    <s v="portfolio 10"/>
    <n v="-2423712.96"/>
    <n v="-2693964"/>
    <n v="-2461216"/>
    <s v="DEF.CTEST.1.16-20260226"/>
  </r>
  <r>
    <d v="2026-02-26T00:00:00"/>
    <x v="1"/>
    <s v="portfolio 11"/>
    <n v="-2477333.04"/>
    <n v="-2737560"/>
    <n v="-2514532"/>
    <s v="DEF.CTEST.1.17-20260226"/>
  </r>
  <r>
    <d v="2026-02-26T00:00:00"/>
    <x v="2"/>
    <s v="portfolio 12"/>
    <n v="-2499297.54"/>
    <n v="-2755970"/>
    <n v="-2546331"/>
    <s v="DEF.CTEST.1.18-20260226"/>
  </r>
  <r>
    <d v="2026-02-26T00:00:00"/>
    <x v="3"/>
    <s v="portfolio 13"/>
    <n v="-17848929.68"/>
    <n v="-21450541"/>
    <n v="-14674425"/>
    <s v="DEF.CTEST.1.19-20260226"/>
  </r>
  <r>
    <d v="2026-02-26T00:00:00"/>
    <x v="5"/>
    <s v="portfolio 14"/>
    <n v="-9552137.6799999997"/>
    <n v="-6879511"/>
    <n v="-6235883"/>
    <s v="DEF.CTEST.1.21-20260226"/>
  </r>
  <r>
    <d v="2026-02-26T00:00:00"/>
    <x v="6"/>
    <s v="portfolio 15"/>
    <n v="-1260472.08"/>
    <n v="-1674663"/>
    <n v="-1648220"/>
    <s v="DEF.CTEST.1.36-20260226"/>
  </r>
  <r>
    <d v="2026-02-26T00:00:00"/>
    <x v="7"/>
    <s v="portfolio 16"/>
    <n v="-2276054.81"/>
    <n v="-2555329"/>
    <n v="-2388742"/>
    <s v="DEF.CTEST.1.37-20260226"/>
  </r>
  <r>
    <d v="2026-02-26T00:00:00"/>
    <x v="8"/>
    <s v="portfolio 17"/>
    <n v="-967336.27"/>
    <n v="-1925895"/>
    <n v="-1837853"/>
    <s v="DEF.CTEST.1.38-20260226"/>
  </r>
  <r>
    <d v="2027-02-27T00:00:00"/>
    <x v="0"/>
    <s v="portfolio 18"/>
    <n v="-3518660.94"/>
    <n v="-1137885"/>
    <n v="-834782"/>
    <s v="DEF.CTEST.1.16-20260227"/>
  </r>
  <r>
    <d v="2027-02-27T00:00:00"/>
    <x v="1"/>
    <s v="portfolio 19"/>
    <n v="-8696868.9000000004"/>
    <n v="-428992"/>
    <n v="-341941"/>
    <s v="DEF.CTEST.1.17-20260227"/>
  </r>
  <r>
    <d v="2027-02-27T00:00:00"/>
    <x v="2"/>
    <s v="portfolio 20"/>
    <n v="-2530061.46"/>
    <n v="-2711078"/>
    <n v="-2493900"/>
    <s v="DEF.CTEST.1.18-202602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d v="2026-02-25T00:00:00"/>
    <x v="0"/>
    <s v="portfolio1"/>
    <n v="-24321.11"/>
    <n v="-7569"/>
    <n v="-7161"/>
    <m/>
    <s v="DEF.CTEST.1.1-20260225.pdf"/>
  </r>
  <r>
    <d v="2026-02-25T00:00:00"/>
    <x v="1"/>
    <s v="portfolio2"/>
    <n v="-224159.12"/>
    <n v="-38020"/>
    <n v="-35180"/>
    <m/>
    <s v="DEF.CTEST.1.2-20260225.pdf"/>
  </r>
  <r>
    <d v="2026-02-25T00:00:00"/>
    <x v="2"/>
    <s v="portfolio3"/>
    <n v="-109260.23"/>
    <n v="-14654"/>
    <n v="-14072"/>
    <m/>
    <s v="DEF.CTEST.1.3-20260225.pdf"/>
  </r>
  <r>
    <d v="2026-02-25T00:00:00"/>
    <x v="3"/>
    <s v="portfolio4"/>
    <n v="0"/>
    <n v="-21770"/>
    <n v="-20629"/>
    <n v="1659.01"/>
    <s v="DEF.CTEST.1.4-20260225.pdf"/>
  </r>
  <r>
    <d v="2026-02-25T00:00:00"/>
    <x v="4"/>
    <s v="portfolio5"/>
    <n v="0"/>
    <n v="-40306"/>
    <n v="-37568"/>
    <n v="27227.01"/>
    <s v="DEF.CTEST.1.5-20260225.pdf"/>
  </r>
  <r>
    <d v="2026-02-25T00:00:00"/>
    <x v="5"/>
    <s v="portfolio6"/>
    <n v="0"/>
    <n v="-32946"/>
    <n v="-31210"/>
    <n v="37183.67"/>
    <s v="DEF.CTEST.1.6-20260225.pdf"/>
  </r>
  <r>
    <d v="2026-02-25T00:00:00"/>
    <x v="6"/>
    <s v="portfolio7"/>
    <n v="0"/>
    <n v="-61841"/>
    <n v="-60361"/>
    <n v="6493.55"/>
    <s v="DEF.CTEST.1.7-20260225.pdf"/>
  </r>
  <r>
    <d v="2026-02-25T00:00:00"/>
    <x v="7"/>
    <s v="portfolio8"/>
    <n v="0"/>
    <n v="-98491"/>
    <n v="-96159"/>
    <n v="48970.91"/>
    <s v="DEF.CTEST.1.8-20260225.pdf"/>
  </r>
  <r>
    <d v="2026-02-25T00:00:00"/>
    <x v="8"/>
    <s v="portfolio9"/>
    <n v="0"/>
    <n v="-157722"/>
    <n v="-149115"/>
    <n v="164718.82999999999"/>
    <s v="DEF.CTEST.1.9-20260225.pdf"/>
  </r>
  <r>
    <d v="2026-02-25T00:00:00"/>
    <x v="9"/>
    <s v="portfolio10"/>
    <n v="-93063.84"/>
    <n v="-59174"/>
    <n v="-59145"/>
    <m/>
    <s v="DEF.CTEST.1.10-20260225.pdf"/>
  </r>
  <r>
    <d v="2026-02-25T00:00:00"/>
    <x v="10"/>
    <s v="portfolio11"/>
    <n v="-373414.41"/>
    <n v="-211742"/>
    <n v="-204805"/>
    <m/>
    <s v="DEF.CTEST.1.11-20260225.pdf"/>
  </r>
  <r>
    <d v="2026-02-25T00:00:00"/>
    <x v="11"/>
    <s v="portfolio12"/>
    <n v="-168184.63"/>
    <n v="-80039"/>
    <n v="-75557"/>
    <m/>
    <s v="DEF.CTEST.1.12-20260225.pdf"/>
  </r>
  <r>
    <d v="2026-02-25T00:00:00"/>
    <x v="12"/>
    <s v="portfolio13"/>
    <n v="-4202638.22"/>
    <n v="-333894"/>
    <m/>
    <m/>
    <m/>
  </r>
  <r>
    <d v="2026-02-25T00:00:00"/>
    <x v="13"/>
    <s v="portfolio14"/>
    <n v="0"/>
    <n v="-161287"/>
    <n v="-148016"/>
    <n v="86896.18"/>
    <s v="DEF.CTEST.1.13-20260225.pdf"/>
  </r>
  <r>
    <d v="2026-02-25T00:00:00"/>
    <x v="14"/>
    <s v="portfolio15"/>
    <n v="0"/>
    <n v="-834067"/>
    <n v="-815406"/>
    <n v="508975.47"/>
    <s v="DEF.CTEST.1.14-20260225.pdf"/>
  </r>
  <r>
    <d v="2026-02-25T00:00:00"/>
    <x v="15"/>
    <s v="portfolio16"/>
    <n v="0"/>
    <n v="-1348468"/>
    <m/>
    <n v="377173.55"/>
    <m/>
  </r>
  <r>
    <d v="2026-02-25T00:00:00"/>
    <x v="16"/>
    <s v="portfolio17"/>
    <n v="0"/>
    <n v="-611693"/>
    <n v="587508"/>
    <n v="358821.61"/>
    <s v="DEF.CTEST.1.23-20260225.pdf"/>
  </r>
  <r>
    <d v="2026-02-25T00:00:00"/>
    <x v="17"/>
    <s v="portfolio18"/>
    <n v="-66030.03"/>
    <n v="-648988"/>
    <n v="-619853"/>
    <m/>
    <s v="DEF.CTEST.1.24-20260225.pdf"/>
  </r>
  <r>
    <d v="2026-02-25T00:00:00"/>
    <x v="18"/>
    <s v="portfolio19"/>
    <n v="0"/>
    <n v="-794811"/>
    <n v="-787011"/>
    <n v="9801093.0500000007"/>
    <s v="DEF.CTEST.1.34-20260225.pdf"/>
  </r>
  <r>
    <d v="2026-02-25T00:00:00"/>
    <x v="19"/>
    <s v="portfolio20"/>
    <n v="0"/>
    <n v="-727703"/>
    <n v="-698894"/>
    <n v="6719825.8799999999"/>
    <s v="DEF.CTEST.1.33-20260225.pdf"/>
  </r>
  <r>
    <d v="2026-02-25T00:00:00"/>
    <x v="20"/>
    <s v="portfolio21"/>
    <n v="0"/>
    <n v="-1047343"/>
    <n v="-942894"/>
    <n v="2108187.62"/>
    <s v="DEF.CTEST.1.31-20260225.pdf"/>
  </r>
  <r>
    <d v="2026-02-26T00:00:00"/>
    <x v="0"/>
    <s v="portfolio22"/>
    <n v="-23924.68"/>
    <n v="-7891"/>
    <n v="-7559"/>
    <m/>
    <s v="DEF.CTEST.1.1-20260226.pdf"/>
  </r>
  <r>
    <d v="2026-02-26T00:00:00"/>
    <x v="1"/>
    <s v="portfolio23"/>
    <n v="-882945.69"/>
    <n v="-178795"/>
    <n v="-167322"/>
    <m/>
    <s v="DEF.CTEST.1.2-20260226.pdf"/>
  </r>
  <r>
    <d v="2026-02-26T00:00:00"/>
    <x v="2"/>
    <s v="portfolio24"/>
    <n v="0"/>
    <n v="-32947"/>
    <n v="-31386"/>
    <n v="50448.13"/>
    <s v="DEF.CTEST.1.3-20260226.pdf"/>
  </r>
  <r>
    <d v="2026-02-26T00:00:00"/>
    <x v="3"/>
    <s v="portfolio25"/>
    <n v="0"/>
    <n v="-31746"/>
    <n v="-30418"/>
    <n v="5362.15"/>
    <s v="DEF.CTEST.1.4-20260226.pdf"/>
  </r>
  <r>
    <d v="2026-02-26T00:00:00"/>
    <x v="4"/>
    <s v="portfolio26"/>
    <n v="0"/>
    <n v="-88206"/>
    <n v="-82628"/>
    <n v="55415.41"/>
    <s v="DEF.CTEST.1.5-20260226.pdf"/>
  </r>
  <r>
    <d v="2026-02-26T00:00:00"/>
    <x v="5"/>
    <s v="portfolio27"/>
    <n v="-212489.33"/>
    <n v="-48034"/>
    <n v="-45694"/>
    <m/>
    <s v="DEF.CTEST.1.6-20260226.pdf"/>
  </r>
  <r>
    <d v="2026-02-26T00:00:00"/>
    <x v="6"/>
    <s v="portfolio28"/>
    <n v="0"/>
    <n v="-86217"/>
    <n v="-86165"/>
    <n v="93990.09"/>
    <s v="DEF.CTEST.1.7-20260226.pdf"/>
  </r>
  <r>
    <d v="2026-02-26T00:00:00"/>
    <x v="7"/>
    <s v="portfolio29"/>
    <n v="0"/>
    <n v="-395660"/>
    <n v="-383888"/>
    <n v="224945.37"/>
    <s v="DEF.CTEST.1.8-20260226.pdf"/>
  </r>
  <r>
    <d v="2026-02-26T00:00:00"/>
    <x v="8"/>
    <s v="portfolio30"/>
    <n v="0"/>
    <n v="-76034"/>
    <n v="-72175"/>
    <n v="79220.429999999993"/>
    <s v="DEF.CTEST.1.9-20260226.pdf"/>
  </r>
  <r>
    <d v="2026-02-26T00:00:00"/>
    <x v="9"/>
    <s v="portfolio31"/>
    <n v="-69305.08"/>
    <n v="-43393"/>
    <n v="-44086"/>
    <m/>
    <s v="DEF.CTEST.1.10-20260226.pdf"/>
  </r>
  <r>
    <d v="2026-02-26T00:00:00"/>
    <x v="10"/>
    <s v="portfolio32"/>
    <n v="-772512.1"/>
    <n v="-399270"/>
    <n v="-387373"/>
    <m/>
    <s v="DEF.CTEST.1.11-20260226.pdf"/>
  </r>
  <r>
    <d v="2026-02-26T00:00:00"/>
    <x v="11"/>
    <s v="portfolio33"/>
    <n v="-169228.08"/>
    <n v="-77027"/>
    <n v="-73038"/>
    <m/>
    <s v="DEF.CTEST.1.12-20260226.pdf"/>
  </r>
  <r>
    <d v="2026-02-26T00:00:00"/>
    <x v="21"/>
    <s v="portfolio34"/>
    <n v="0"/>
    <n v="-885335"/>
    <n v="-868408"/>
    <n v="612614.37"/>
    <s v="DEF.CTEST.1.13-20260226.pdf"/>
  </r>
  <r>
    <d v="2026-02-26T00:00:00"/>
    <x v="22"/>
    <s v="portfolio35"/>
    <n v="0"/>
    <n v="-665340"/>
    <n v="-656559"/>
    <n v="387926.47"/>
    <s v="DEF.CTEST.1.14-20260226.pdf"/>
  </r>
  <r>
    <d v="2026-02-26T00:00:00"/>
    <x v="23"/>
    <s v="portfolio36"/>
    <n v="0"/>
    <n v="-293595"/>
    <n v="-268949"/>
    <n v="468609.11"/>
    <s v="DEF.CTEST.1.15-20260226.pdf"/>
  </r>
  <r>
    <d v="2026-02-26T00:00:00"/>
    <x v="24"/>
    <s v="portfolio37"/>
    <m/>
    <n v="-661555"/>
    <n v="-658840"/>
    <n v="321738.76"/>
    <s v="DEF.CTEST.1.24-20260226.pdf"/>
  </r>
  <r>
    <d v="2026-02-26T00:00:00"/>
    <x v="25"/>
    <s v="portfolio38"/>
    <n v="-600201.75"/>
    <n v="-273065"/>
    <n v="-256848"/>
    <m/>
    <s v="DEF.CTEST.1.23-20260226.pdf"/>
  </r>
  <r>
    <d v="2026-02-26T00:00:00"/>
    <x v="26"/>
    <s v="portfolio39"/>
    <n v="0"/>
    <n v="-171141"/>
    <n v="-258118"/>
    <n v="2245226.42"/>
    <s v="DEF.CTEST.1.30-20260226.pdf"/>
  </r>
  <r>
    <d v="2026-02-26T00:00:00"/>
    <x v="27"/>
    <s v="portfolio40"/>
    <n v="0"/>
    <n v="-2578498"/>
    <n v="-2407476"/>
    <n v="16055776.09"/>
    <s v="DEF.CTEST.1.32-20260226.pdf"/>
  </r>
  <r>
    <d v="2026-02-26T00:00:00"/>
    <x v="28"/>
    <s v="portfolio41"/>
    <n v="0"/>
    <n v="-1924050"/>
    <n v="-1853491"/>
    <n v="13840352.59"/>
    <s v="DEF.CTEST.1.33-20260226.pdf"/>
  </r>
  <r>
    <d v="2026-02-26T00:00:00"/>
    <x v="29"/>
    <s v="portfolio42"/>
    <n v="0"/>
    <n v="-327884"/>
    <n v="-290453"/>
    <n v="3183773.37"/>
    <s v="DEF.CTEST.1.31-20260226.pdf"/>
  </r>
  <r>
    <d v="2026-02-26T00:00:00"/>
    <x v="30"/>
    <s v="portfolio43"/>
    <n v="0"/>
    <n v="-171141"/>
    <n v="-157523"/>
    <n v="140035.6"/>
    <s v="DEF.CTEST.1.34-20260226.pdf"/>
  </r>
  <r>
    <d v="2026-02-26T00:00:00"/>
    <x v="31"/>
    <s v="portfolio44"/>
    <n v="0"/>
    <n v="-307545"/>
    <n v="-288711"/>
    <n v="3194583.39"/>
    <s v="DEF.CTEST.1.35-20260226.pdf"/>
  </r>
  <r>
    <d v="2026-02-27T00:00:00"/>
    <x v="0"/>
    <s v="portfolio45"/>
    <n v="-23258.83"/>
    <n v="-8500"/>
    <n v="-8081"/>
    <m/>
    <m/>
  </r>
  <r>
    <d v="2026-02-27T00:00:00"/>
    <x v="1"/>
    <s v="portfolio46"/>
    <n v="-216190.79"/>
    <n v="-47224"/>
    <n v="-44437"/>
    <m/>
    <m/>
  </r>
  <r>
    <d v="2026-02-27T00:00:00"/>
    <x v="2"/>
    <s v="portfolio47"/>
    <n v="-209043.32"/>
    <n v="-34461"/>
    <n v="-32936"/>
    <m/>
    <m/>
  </r>
  <r>
    <d v="2026-02-27T00:00:00"/>
    <x v="3"/>
    <s v="portfolio48"/>
    <n v="0"/>
    <n v="-8474"/>
    <n v="-8064"/>
    <n v="1763.51"/>
    <m/>
  </r>
  <r>
    <d v="2026-02-27T00:00:00"/>
    <x v="4"/>
    <s v="portfolio49"/>
    <n v="0"/>
    <n v="-84296"/>
    <n v="-79169"/>
    <n v="53932.36"/>
    <m/>
  </r>
  <r>
    <d v="2026-02-27T00:00:00"/>
    <x v="5"/>
    <s v="portfolio50"/>
    <n v="0"/>
    <n v="-98184"/>
    <n v="-93754"/>
    <n v="109253.17"/>
    <m/>
  </r>
  <r>
    <d v="2026-02-27T00:00:00"/>
    <x v="6"/>
    <s v="portfolio51"/>
    <n v="0"/>
    <n v="-71666"/>
    <n v="-72144"/>
    <n v="8647.25"/>
    <m/>
  </r>
  <r>
    <d v="2026-02-27T00:00:00"/>
    <x v="7"/>
    <s v="portfolio52"/>
    <n v="0"/>
    <n v="-100403"/>
    <n v="-97411"/>
    <n v="58115.31"/>
    <m/>
  </r>
  <r>
    <d v="2026-02-27T00:00:00"/>
    <x v="8"/>
    <s v="portfolio53"/>
    <n v="0"/>
    <n v="-219068"/>
    <n v="-205924"/>
    <n v="273661.65999999997"/>
    <m/>
  </r>
  <r>
    <d v="2026-02-27T00:00:00"/>
    <x v="9"/>
    <s v="portfolio54"/>
    <n v="-47605.97"/>
    <n v="-28603"/>
    <n v="-28921"/>
    <m/>
    <m/>
  </r>
  <r>
    <d v="2026-02-27T00:00:00"/>
    <x v="10"/>
    <s v="portfolio55"/>
    <n v="-201617.72"/>
    <n v="-98562"/>
    <n v="-97106"/>
    <m/>
    <m/>
  </r>
  <r>
    <d v="2026-02-27T00:00:00"/>
    <x v="11"/>
    <s v="portfolio56"/>
    <n v="-163267.54"/>
    <n v="-75896"/>
    <n v="-72020"/>
    <m/>
    <m/>
  </r>
  <r>
    <d v="2026-02-27T00:00:00"/>
    <x v="32"/>
    <s v="portfolio57"/>
    <n v="-130563.37"/>
    <n v="-243304"/>
    <n v="-233613"/>
    <m/>
    <m/>
  </r>
  <r>
    <d v="2026-02-27T00:00:00"/>
    <x v="33"/>
    <s v="portfolio58"/>
    <n v="0"/>
    <n v="-190310"/>
    <n v="-177657"/>
    <n v="104140.96"/>
    <m/>
  </r>
  <r>
    <d v="2026-02-27T00:00:00"/>
    <x v="22"/>
    <s v="portfolio59"/>
    <n v="0"/>
    <n v="-474588"/>
    <n v="-472132"/>
    <n v="220749.11"/>
    <m/>
  </r>
  <r>
    <d v="2026-02-27T00:00:00"/>
    <x v="25"/>
    <s v="portfolio60"/>
    <n v="-2675483.46"/>
    <n v="-1837033"/>
    <n v="-1753308"/>
    <m/>
    <m/>
  </r>
  <r>
    <d v="2026-02-27T00:00:00"/>
    <x v="34"/>
    <s v="portfolio61"/>
    <n v="-376341.2"/>
    <n v="-19283"/>
    <n v="-16451"/>
    <m/>
    <m/>
  </r>
  <r>
    <d v="2026-02-27T00:00:00"/>
    <x v="34"/>
    <s v="portfolio62"/>
    <n v="-2036108.16"/>
    <n v="-822876"/>
    <n v="-768244"/>
    <m/>
    <m/>
  </r>
  <r>
    <d v="2026-02-27T00:00:00"/>
    <x v="26"/>
    <s v="portfolio63"/>
    <n v="0"/>
    <n v="-1765152"/>
    <n v="-1700911"/>
    <n v="6621494.7599999998"/>
    <m/>
  </r>
  <r>
    <d v="2026-02-27T00:00:00"/>
    <x v="28"/>
    <s v="portfolio64"/>
    <n v="0"/>
    <n v="-1951679"/>
    <n v="-1888531"/>
    <n v="14085710.539999999"/>
    <m/>
  </r>
  <r>
    <d v="2026-02-27T00:00:00"/>
    <x v="35"/>
    <s v="portfolio65"/>
    <n v="0"/>
    <n v="-877695"/>
    <n v="-890830"/>
    <n v="5026962.9000000004"/>
    <m/>
  </r>
  <r>
    <d v="2026-02-27T00:00:00"/>
    <x v="27"/>
    <s v="portfolio66"/>
    <n v="0"/>
    <n v="-2760622"/>
    <n v="-2564021"/>
    <n v="26049673.620000001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6-02-25T00:00:00"/>
    <x v="0"/>
    <s v="portfolio 1"/>
    <n v="-8765860.3599999994"/>
    <n v="-757318"/>
    <n v="-576551"/>
    <s v="DEF.CTEST.1.16-20260225.pdf"/>
  </r>
  <r>
    <d v="2026-02-25T00:00:00"/>
    <x v="1"/>
    <s v="portfolio 2"/>
    <n v="-3726545.42"/>
    <n v="-337566"/>
    <n v="-4075275"/>
    <s v="DEF.CTEST.1.17-20260227.pdf"/>
  </r>
  <r>
    <d v="2026-02-25T00:00:00"/>
    <x v="2"/>
    <s v="portfolio 3"/>
    <n v="-4226421.03"/>
    <n v="-1466400"/>
    <n v="-3864642"/>
    <s v="DEF.CTEST.1.18-20260227.pdf"/>
  </r>
  <r>
    <d v="2026-02-26T00:00:00"/>
    <x v="0"/>
    <s v="portfolio 4"/>
    <n v="-7155855.1399999997"/>
    <n v="-848278"/>
    <n v="-908946"/>
    <s v="DEF.CTEST.1.16-20260226.pdf"/>
  </r>
  <r>
    <d v="2026-02-26T00:00:00"/>
    <x v="1"/>
    <s v="portfolio 5"/>
    <n v="-21733963.199999999"/>
    <n v="-350587"/>
    <n v="-189639"/>
    <s v="DEF.CTEST.1.17-20260226.pdf"/>
  </r>
  <r>
    <d v="2026-02-26T00:00:00"/>
    <x v="2"/>
    <s v="portfolio 6"/>
    <n v="-11123980.24"/>
    <n v="-1545897"/>
    <n v="-1316158"/>
    <s v="DEF.CTEST.1.18-20260226.pdf"/>
  </r>
  <r>
    <d v="2027-02-27T00:00:00"/>
    <x v="0"/>
    <s v="portfolio 7"/>
    <n v="-3730328.52"/>
    <n v="-3577960"/>
    <n v="-3536273"/>
    <s v="DEF.CTEST.1.16-20260227.pdf"/>
  </r>
  <r>
    <d v="2027-02-27T00:00:00"/>
    <x v="1"/>
    <s v="portfolio 8"/>
    <n v="-5891120.7400000002"/>
    <n v="-2262759"/>
    <n v="-2313192"/>
    <s v="DEF.CTEST.1.17-20260227.pdf"/>
  </r>
  <r>
    <d v="2027-02-27T00:00:00"/>
    <x v="2"/>
    <s v="portfolio 9"/>
    <n v="-4087101.78"/>
    <n v="-4327647"/>
    <n v="-4195164"/>
    <s v="DEF.CTEST.1.18-20260227.pdf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d v="2026-02-25T00:00:00"/>
    <x v="0"/>
    <s v="portfolio1"/>
    <n v="-191343.64"/>
    <n v="-42932"/>
    <n v="-42535"/>
    <m/>
    <s v="DEF.CTEST.1.1-20260225.pdf"/>
  </r>
  <r>
    <d v="2026-02-25T00:00:00"/>
    <x v="1"/>
    <s v="portfolio2"/>
    <n v="-2716248.45"/>
    <n v="-352662"/>
    <n v="-349444"/>
    <m/>
    <s v="DEF.CTEST.1.2-20260225.pdf"/>
  </r>
  <r>
    <d v="2026-02-25T00:00:00"/>
    <x v="2"/>
    <s v="portfolio3"/>
    <n v="-2755458.55"/>
    <n v="-246489"/>
    <n v="-216849"/>
    <m/>
    <s v="DEF.CTEST.1.3-20260225.pdf"/>
  </r>
  <r>
    <d v="2026-02-25T00:00:00"/>
    <x v="3"/>
    <s v="portfolio4"/>
    <n v="0"/>
    <n v="-20182"/>
    <n v="-20162"/>
    <n v="3805.84"/>
    <s v="DEF.CTEST.1.4-20260225.pdf"/>
  </r>
  <r>
    <d v="2026-02-25T00:00:00"/>
    <x v="4"/>
    <s v="portfolio5"/>
    <n v="0"/>
    <n v="-128563"/>
    <n v="-129073"/>
    <n v="107700.92"/>
    <s v="DEF.CTEST.1.5-20260225.pdf"/>
  </r>
  <r>
    <d v="2026-02-25T00:00:00"/>
    <x v="5"/>
    <s v="portfolio6"/>
    <n v="0"/>
    <n v="-69598"/>
    <n v="-61443"/>
    <n v="67390.070000000007"/>
    <s v="DEF.CTEST.1.6-20260225.pdf"/>
  </r>
  <r>
    <d v="2026-02-25T00:00:00"/>
    <x v="6"/>
    <s v="portfolio7"/>
    <n v="0"/>
    <n v="-190536"/>
    <n v="-189079"/>
    <n v="56493.63"/>
    <s v="DEF.CTEST.1.7-20260225.pdf"/>
  </r>
  <r>
    <d v="2026-02-25T00:00:00"/>
    <x v="7"/>
    <s v="portfolio8"/>
    <n v="0"/>
    <n v="-688662"/>
    <n v="-638197"/>
    <n v="631146.37"/>
    <s v="DEF.CTEST.1.8-20260225.pdf"/>
  </r>
  <r>
    <d v="2026-02-25T00:00:00"/>
    <x v="8"/>
    <s v="portfolio9"/>
    <n v="0"/>
    <n v="-459958"/>
    <n v="-449361"/>
    <n v="200582.31"/>
    <s v="DEF.CTEST.1.9-20260225.pdf"/>
  </r>
  <r>
    <d v="2026-02-25T00:00:00"/>
    <x v="9"/>
    <s v="portfolio10"/>
    <n v="-83598.52"/>
    <n v="-64279"/>
    <n v="-61873"/>
    <m/>
    <s v="DEF.CTEST.1.10-20260225.pdf"/>
  </r>
  <r>
    <d v="2026-02-25T00:00:00"/>
    <x v="10"/>
    <s v="portfolio11"/>
    <n v="-1507731.49"/>
    <n v="-1054449"/>
    <n v="-642581"/>
    <m/>
    <s v="DEF.CTEST.1.11-20260225.pdf"/>
  </r>
  <r>
    <d v="2026-02-25T00:00:00"/>
    <x v="11"/>
    <s v="portfolio12"/>
    <n v="-1892107.34"/>
    <n v="-442683"/>
    <n v="-289208"/>
    <m/>
    <s v="DEF.CTEST.1.12-20260225.pdf"/>
  </r>
  <r>
    <d v="2026-02-25T00:00:00"/>
    <x v="12"/>
    <s v="portfolio13"/>
    <n v="0"/>
    <n v="-1208518"/>
    <n v="-547996"/>
    <n v="585497.35"/>
    <s v="DEF.CTEST.1.14-20260225.pdf"/>
  </r>
  <r>
    <d v="2026-02-25T00:00:00"/>
    <x v="13"/>
    <s v="portfolio14"/>
    <n v="0"/>
    <n v="-1070887"/>
    <n v="-567286"/>
    <n v="1376178.01"/>
    <s v="DEF.CTEST.1.15-20260225.pdf"/>
  </r>
  <r>
    <d v="2026-02-25T00:00:00"/>
    <x v="14"/>
    <s v="portfolio15"/>
    <n v="0"/>
    <n v="-1334331"/>
    <n v="-578903"/>
    <n v="648389.84"/>
    <s v="DEF.CTEST.1.13-20260225.pdf"/>
  </r>
  <r>
    <d v="2026-02-25T00:00:00"/>
    <x v="15"/>
    <s v="portfolio16"/>
    <n v="-4127722.32"/>
    <n v="-1056073"/>
    <n v="-975755"/>
    <m/>
    <s v="DEF.CTEST.1.19-20260225.pdf"/>
  </r>
  <r>
    <d v="2026-02-25T00:00:00"/>
    <x v="16"/>
    <s v="portfolio17"/>
    <n v="-564615.21"/>
    <n v="-144692"/>
    <n v="-100534"/>
    <m/>
    <s v="DEF.CTEST.1.21-20260225.pdf"/>
  </r>
  <r>
    <d v="2026-02-25T00:00:00"/>
    <x v="17"/>
    <s v="portfolio18"/>
    <n v="-2390202.31"/>
    <n v="-1465686"/>
    <n v="-1483168"/>
    <m/>
    <s v="DEF.CTEST.1.20-20260225.pdf"/>
  </r>
  <r>
    <d v="2026-02-25T00:00:00"/>
    <x v="18"/>
    <s v="portfolio19"/>
    <n v="0"/>
    <n v="-2915334"/>
    <n v="-2845038"/>
    <n v="12517816.550000001"/>
    <s v="DEF.CTEST.1.30-20260225.pdf"/>
  </r>
  <r>
    <d v="2026-02-25T00:00:00"/>
    <x v="19"/>
    <s v="portfolio20"/>
    <n v="0"/>
    <n v="-2108989"/>
    <n v="-1956710"/>
    <n v="5868821.8899999997"/>
    <s v="DEF.CTEST.1.29-20260225.pdf"/>
  </r>
  <r>
    <d v="2026-02-25T00:00:00"/>
    <x v="20"/>
    <s v="portfolio21"/>
    <n v="0"/>
    <n v="-2826684"/>
    <n v="-2778616"/>
    <n v="9466948.3800000008"/>
    <s v="DEF.CTEST.1.28-20260225.pdf"/>
  </r>
  <r>
    <d v="2026-02-26T00:00:00"/>
    <x v="0"/>
    <s v="portfolio22"/>
    <n v="-271747.33"/>
    <n v="-106418"/>
    <n v="-102277"/>
    <m/>
    <s v="DEF.CTEST.1.1-20260226.pdf"/>
  </r>
  <r>
    <d v="2026-02-26T00:00:00"/>
    <x v="1"/>
    <s v="portfolio23"/>
    <n v="-892973.2"/>
    <n v="-130704"/>
    <n v="-132351"/>
    <m/>
    <s v="DEF.CTEST.1.2-20260226.pdf"/>
  </r>
  <r>
    <d v="2026-02-26T00:00:00"/>
    <x v="2"/>
    <s v="portfolio24"/>
    <n v="-2745514.08"/>
    <n v="-262760"/>
    <n v="-239504"/>
    <m/>
    <s v="DEF.CTEST.1.3-20260226.pdf"/>
  </r>
  <r>
    <d v="2026-02-26T00:00:00"/>
    <x v="3"/>
    <s v="portfolio25"/>
    <n v="0"/>
    <n v="-36767"/>
    <n v="-35308"/>
    <n v="10111.36"/>
    <s v="DEF.CTEST.1.4-20260226.pdf"/>
  </r>
  <r>
    <d v="2026-02-26T00:00:00"/>
    <x v="4"/>
    <s v="portfolio26"/>
    <n v="0"/>
    <n v="-432005"/>
    <n v="-445491"/>
    <n v="384214.5"/>
    <s v="DEF.CTEST.1.5-20260226.pdf"/>
  </r>
  <r>
    <d v="2026-02-26T00:00:00"/>
    <x v="5"/>
    <s v="portfolio27"/>
    <n v="0"/>
    <n v="-131345"/>
    <n v="-113961"/>
    <n v="149477.66"/>
    <s v="DEF.CTEST.1.6-20260226.pdf"/>
  </r>
  <r>
    <d v="2026-02-26T00:00:00"/>
    <x v="6"/>
    <s v="portfolio28"/>
    <n v="-289378.34999999998"/>
    <n v="-173607"/>
    <n v="-178645"/>
    <m/>
    <s v="DEF.CTEST.1.7-20260226.pdf"/>
  </r>
  <r>
    <d v="2026-02-26T00:00:00"/>
    <x v="7"/>
    <s v="portfolio29"/>
    <n v="-901065.73"/>
    <n v="-781979"/>
    <n v="-772941"/>
    <m/>
    <s v="DEF.CTEST.1.8-20260226.pdf"/>
  </r>
  <r>
    <d v="2026-02-26T00:00:00"/>
    <x v="8"/>
    <s v="portfolio30"/>
    <n v="-1875858.59"/>
    <n v="-658100"/>
    <n v="-637515"/>
    <m/>
    <s v="DEF.CTEST.1.9-20260226.pdf"/>
  </r>
  <r>
    <d v="2026-02-26T00:00:00"/>
    <x v="9"/>
    <s v="portfolio31"/>
    <n v="0"/>
    <n v="-175301"/>
    <n v="-179546"/>
    <n v="10930.98"/>
    <s v="DEF.CTEST.1.10-20260226.pdf"/>
  </r>
  <r>
    <d v="2026-02-26T00:00:00"/>
    <x v="10"/>
    <s v="portfolio32"/>
    <n v="0"/>
    <n v="-268971"/>
    <n v="-266935"/>
    <n v="309543.2"/>
    <s v="DEF.CTEST.1.11-20260226.pdf"/>
  </r>
  <r>
    <d v="2026-02-26T00:00:00"/>
    <x v="11"/>
    <s v="portfolio33"/>
    <n v="0"/>
    <n v="-330654"/>
    <n v="-328238"/>
    <n v="473499.75"/>
    <s v="DEF.CTEST.1.12-20260226.pdf"/>
  </r>
  <r>
    <d v="2026-02-26T00:00:00"/>
    <x v="13"/>
    <s v="portfolio34"/>
    <n v="0"/>
    <n v="-756593"/>
    <n v="-589285"/>
    <n v="1454019.1"/>
    <s v="DEF.CTEST.1.15-20260226.pdf"/>
  </r>
  <r>
    <d v="2026-02-26T00:00:00"/>
    <x v="21"/>
    <s v="portfolio35"/>
    <n v="0"/>
    <n v="-952524"/>
    <n v="-673568"/>
    <n v="2163834.9700000002"/>
    <s v="DEF.CTEST.1.13-20260226.pdf"/>
  </r>
  <r>
    <d v="2026-02-26T00:00:00"/>
    <x v="22"/>
    <s v="portfolio36"/>
    <n v="0"/>
    <n v="-404180"/>
    <n v="-339005"/>
    <n v="165531.60999999999"/>
    <s v="DEF.CTEST.1.14-20260226.pdf"/>
  </r>
  <r>
    <d v="2026-02-26T00:00:00"/>
    <x v="23"/>
    <s v="portfolio37"/>
    <n v="0"/>
    <n v="-904405"/>
    <n v="-857419"/>
    <n v="653156.41"/>
    <s v="DEF.CTEST.1.19-20260226.pdf"/>
  </r>
  <r>
    <d v="2026-02-26T00:00:00"/>
    <x v="24"/>
    <s v="portfolio38"/>
    <n v="0"/>
    <n v="-508901"/>
    <n v="-365511"/>
    <n v="278537.14"/>
    <s v="DEF.CTEST.1.21-20260226.pdf"/>
  </r>
  <r>
    <d v="2026-02-26T00:00:00"/>
    <x v="25"/>
    <s v="portfolio39"/>
    <n v="-303876.17"/>
    <n v="-978193"/>
    <n v="-946593"/>
    <m/>
    <s v="DEF.CTEST.1.20-20260226.pdf"/>
  </r>
  <r>
    <d v="2026-02-26T00:00:00"/>
    <x v="26"/>
    <s v="portfolio40"/>
    <n v="0"/>
    <n v="-2846200"/>
    <n v="-2776091"/>
    <n v="8746813.1699999999"/>
    <s v="DEF.CTEST.1.28-20260226.pdf"/>
  </r>
  <r>
    <d v="2026-02-26T00:00:00"/>
    <x v="27"/>
    <s v="portfolio41"/>
    <n v="0"/>
    <n v="-1749160"/>
    <n v="-1782763"/>
    <n v="8146446.1900000004"/>
    <s v="DEF.CTEST.1.29-20260226.pdf"/>
  </r>
  <r>
    <d v="2026-02-26T00:00:00"/>
    <x v="28"/>
    <s v="portfolio42"/>
    <n v="0"/>
    <n v="-3037067"/>
    <n v="-2859318"/>
    <n v="6796258.79"/>
    <s v="DEF.CTEST.1.27-20260226.pdf"/>
  </r>
  <r>
    <d v="2026-02-27T00:00:00"/>
    <x v="0"/>
    <s v="portfolio43"/>
    <n v="-560498.11"/>
    <n v="-174321"/>
    <n v="-175300"/>
    <m/>
    <s v="DEF.CTEST.1.1-20260227.pdf"/>
  </r>
  <r>
    <d v="2026-02-27T00:00:00"/>
    <x v="1"/>
    <s v="portfolio44"/>
    <n v="-892042.79"/>
    <n v="-131482"/>
    <n v="-137967"/>
    <m/>
    <s v="DEF.CTEST.1.2-20260227.pdf"/>
  </r>
  <r>
    <d v="2026-02-27T00:00:00"/>
    <x v="2"/>
    <s v="portfolio45"/>
    <n v="-2786255.13"/>
    <n v="-230117"/>
    <n v="-205267"/>
    <m/>
    <s v="DEF.CTEST.1.3-20260227.pdf"/>
  </r>
  <r>
    <d v="2026-02-27T00:00:00"/>
    <x v="3"/>
    <s v="portfolio46"/>
    <n v="0"/>
    <n v="-57973"/>
    <n v="-58308"/>
    <n v="12042.65"/>
    <s v="DEF.CTEST.1.4-20260227.pdf"/>
  </r>
  <r>
    <d v="2026-02-27T00:00:00"/>
    <x v="4"/>
    <s v="portfolio47"/>
    <n v="0"/>
    <n v="-317097"/>
    <n v="-290320"/>
    <n v="232158.75"/>
    <s v="DEF.CTEST.1.5-20260227.pdf"/>
  </r>
  <r>
    <d v="2026-02-27T00:00:00"/>
    <x v="5"/>
    <s v="portfolio48"/>
    <n v="0"/>
    <n v="-52593"/>
    <n v="-303765"/>
    <n v="429094.52"/>
    <s v="DEF.CTEST.1.6-20260227.pdf"/>
  </r>
  <r>
    <d v="2026-02-27T00:00:00"/>
    <x v="6"/>
    <s v="portfolio49"/>
    <n v="0"/>
    <n v="-464230"/>
    <n v="-53172"/>
    <n v="7284.72"/>
    <s v="DEF.CTEST.1.7-20260227.pdf"/>
  </r>
  <r>
    <d v="2026-02-27T00:00:00"/>
    <x v="7"/>
    <s v="portfolio50"/>
    <n v="0"/>
    <n v="-657126"/>
    <n v="-463260"/>
    <n v="136303.79"/>
    <s v="DEF.CTEST.1.8-20260227.pdf"/>
  </r>
  <r>
    <d v="2026-02-27T00:00:00"/>
    <x v="8"/>
    <s v="portfolio51"/>
    <n v="0"/>
    <n v="-311762"/>
    <n v="-635775"/>
    <n v="459762.42"/>
    <s v="DEF.CTEST.1.9-20260227.pdf"/>
  </r>
  <r>
    <d v="2026-02-27T00:00:00"/>
    <x v="9"/>
    <s v="portfolio52"/>
    <n v="-561134.23"/>
    <n v="-578017"/>
    <n v="-314591"/>
    <m/>
    <s v="DEF.CTEST.1.10-20260227.pdf"/>
  </r>
  <r>
    <d v="2026-02-27T00:00:00"/>
    <x v="10"/>
    <s v="portfolio53"/>
    <n v="-1755808.58"/>
    <n v="-177645"/>
    <n v="-568617"/>
    <m/>
    <s v="DEF.CTEST.1.11-20260227.pdf"/>
  </r>
  <r>
    <d v="2026-02-27T00:00:00"/>
    <x v="11"/>
    <s v="portfolio54"/>
    <n v="-931928.17"/>
    <n v="-736159"/>
    <n v="-177643"/>
    <m/>
    <s v="DEF.CTEST.1.12-20260227.pdf"/>
  </r>
  <r>
    <d v="2026-02-27T00:00:00"/>
    <x v="29"/>
    <s v="portfolio55"/>
    <n v="-4731.8100000000004"/>
    <n v="-197525"/>
    <n v="-91516"/>
    <m/>
    <s v="DEF.CTEST.1.15-20260227.pdf"/>
  </r>
  <r>
    <d v="2026-02-27T00:00:00"/>
    <x v="30"/>
    <s v="portfolio56"/>
    <n v="-1309706.06"/>
    <n v="-510819"/>
    <n v="-368617"/>
    <m/>
    <s v="DEF.CTEST.1.14-20260227.pdf"/>
  </r>
  <r>
    <d v="2026-02-27T00:00:00"/>
    <x v="31"/>
    <s v="portfolio57"/>
    <n v="-2969606.16"/>
    <n v="-736159"/>
    <n v="-445532"/>
    <m/>
    <s v="DEF.CTEST.1.13-20260227.pdf"/>
  </r>
  <r>
    <d v="2026-02-27T00:00:00"/>
    <x v="15"/>
    <s v="portfolio58"/>
    <n v="-603500.06999999995"/>
    <n v="-45408"/>
    <n v="-24397"/>
    <m/>
    <s v="DEF.CTEST.1.20-20260227.pdf"/>
  </r>
  <r>
    <d v="2026-02-27T00:00:00"/>
    <x v="32"/>
    <s v="portfolio59"/>
    <n v="-2685161.32"/>
    <n v="-2431652"/>
    <n v="-2272839"/>
    <m/>
    <s v="DEF.CTEST.1.19-20260227.pdf"/>
  </r>
  <r>
    <d v="2026-02-27T00:00:00"/>
    <x v="33"/>
    <s v="portfolio60"/>
    <n v="-10359711.869999999"/>
    <n v="-2496936"/>
    <n v="-2556888"/>
    <m/>
    <s v="DEF.CTEST.1.21-20260227.pdf"/>
  </r>
  <r>
    <d v="2026-02-27T00:00:00"/>
    <x v="27"/>
    <s v="portfolio61"/>
    <n v="0"/>
    <n v="-3062098"/>
    <n v="-3027546"/>
    <n v="15284543.9"/>
    <s v="DEF.CTEST.1.28-20260227.pdf"/>
  </r>
  <r>
    <d v="2026-02-27T00:00:00"/>
    <x v="34"/>
    <s v="portfolio62"/>
    <n v="0"/>
    <n v="-4336773"/>
    <n v="-4167890"/>
    <n v="21769021.18"/>
    <s v="DEF.CTEST.1.27-20260227.pd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6C308-71A0-4680-B260-4EE9FF0CC0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1:Q11" firstHeaderRow="0" firstDataRow="1" firstDataCol="1"/>
  <pivotFields count="7">
    <pivotField numFmtId="14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numFmtId="164" showAll="0"/>
    <pivotField dataField="1" numFmtId="164" showAll="0"/>
    <pivotField dataField="1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ME margin" fld="3" subtotal="average" baseField="1" baseItem="0" numFmtId="164"/>
    <dataField name="Average of CoH haircut with new params" fld="5" subtotal="average" baseField="1" baseItem="0"/>
    <dataField name="Average of CoH haircut" fld="4" subtotal="average" baseField="1" baseItem="0" numFmtId="164"/>
  </dataFields>
  <formats count="2">
    <format dxfId="9">
      <pivotArea collapsedLevelsAreSubtotals="1" fieldPosition="0">
        <references count="1">
          <reference field="1" count="0"/>
        </references>
      </pivotArea>
    </format>
    <format dxfId="8">
      <pivotArea field="1" grandRow="1" outline="0" collapsedLevelsAreSubtotals="1" axis="axisRow" fieldPosition="0">
        <references count="1">
          <reference field="4294967294" count="2" selected="0"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E6877-53EE-4DD5-8BB3-26088CCF9229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K1:N37" firstHeaderRow="0" firstDataRow="1" firstDataCol="1"/>
  <pivotFields count="8">
    <pivotField numFmtId="14" showAll="0" defaultSubtotal="0"/>
    <pivotField axis="axisRow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12"/>
        <item x="33"/>
        <item x="13"/>
        <item x="21"/>
        <item x="14"/>
        <item x="22"/>
        <item x="32"/>
        <item x="17"/>
        <item x="34"/>
        <item x="24"/>
        <item x="15"/>
        <item x="25"/>
        <item x="16"/>
        <item x="20"/>
        <item x="19"/>
        <item x="18"/>
        <item x="26"/>
        <item x="29"/>
        <item x="35"/>
        <item x="27"/>
        <item x="28"/>
        <item x="30"/>
        <item x="31"/>
      </items>
    </pivotField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ME margin" fld="3" subtotal="average" baseField="1" baseItem="0"/>
    <dataField name="Average of CoH haircut" fld="4" subtotal="average" baseField="1" baseItem="0"/>
    <dataField name="Average of CoH haircut with new params" fld="5" subtotal="average" baseField="1" baseItem="0"/>
  </dataFields>
  <formats count="1">
    <format dxfId="7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51BB8-8B7D-43E7-8EFA-D9566006BECE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J1:M4" firstHeaderRow="0" firstDataRow="1" firstDataCol="1"/>
  <pivotFields count="7">
    <pivotField numFmtId="14" showAll="0" defaultSubtotal="0"/>
    <pivotField axis="axisRow" showAll="0" defaultSubtotal="0">
      <items count="3">
        <item x="0"/>
        <item x="1"/>
        <item x="2"/>
      </items>
    </pivotField>
    <pivotField showAll="0" defaultSubtotal="0"/>
    <pivotField dataField="1" numFmtId="164" showAll="0" defaultSubtotal="0"/>
    <pivotField dataField="1" showAll="0" defaultSubtotal="0"/>
    <pivotField dataField="1" showAll="0" defaultSubtotal="0"/>
    <pivotField showAll="0" defaultSubtota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ME margin" fld="3" subtotal="average" baseField="1" baseItem="0" numFmtId="164"/>
    <dataField name="Average of CoH haircut" fld="4" subtotal="average" baseField="1" baseItem="0" numFmtId="4"/>
    <dataField name="Average of CoH haircut with new params" fld="5" subtotal="average" baseField="1" baseItem="0" numFmtId="4"/>
  </dataFields>
  <formats count="1">
    <format dxfId="6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AB27F-E38B-4FA6-9BF1-39BDFEFDD7F2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J1:M36" firstHeaderRow="0" firstDataRow="1" firstDataCol="1"/>
  <pivotFields count="8">
    <pivotField numFmtId="14" showAll="0" defaultSubtotal="0"/>
    <pivotField axis="axisRow" showAll="0" defaultSubtota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1"/>
        <item x="30"/>
        <item x="22"/>
        <item x="13"/>
        <item x="12"/>
        <item x="21"/>
        <item x="29"/>
        <item x="14"/>
        <item x="15"/>
        <item x="17"/>
        <item x="33"/>
        <item x="16"/>
        <item x="32"/>
        <item x="23"/>
        <item x="24"/>
        <item x="25"/>
        <item x="28"/>
        <item x="26"/>
        <item x="27"/>
        <item x="20"/>
        <item x="19"/>
        <item x="18"/>
        <item x="34"/>
      </items>
    </pivotField>
    <pivotField showAll="0" defaultSubtotal="0"/>
    <pivotField dataField="1" numFmtId="164" showAll="0" defaultSubtotal="0"/>
    <pivotField dataField="1" numFmtId="164" showAll="0" defaultSubtotal="0"/>
    <pivotField dataField="1" showAll="0" defaultSubtotal="0"/>
    <pivotField showAll="0" defaultSubtotal="0"/>
    <pivotField showAll="0" defaultSubtota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ME margin" fld="3" subtotal="average" baseField="1" baseItem="0" numFmtId="164"/>
    <dataField name="Average of CoH haircut" fld="4" subtotal="average" baseField="1" baseItem="0" numFmtId="164"/>
    <dataField name="Average of CoH haircut with new params" fld="5" subtotal="average" baseField="1" baseItem="0"/>
  </dataFields>
  <formats count="6">
    <format dxfId="5">
      <pivotArea outline="0" collapsedLevelsAreSubtotals="1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BA9C-43D3-489F-BA2A-A9568B5A535D}">
  <dimension ref="A1:H19"/>
  <sheetViews>
    <sheetView workbookViewId="0">
      <selection activeCell="H20" sqref="H20"/>
    </sheetView>
  </sheetViews>
  <sheetFormatPr defaultRowHeight="14.25" x14ac:dyDescent="0.3"/>
  <cols>
    <col min="1" max="1" width="14.25" customWidth="1"/>
    <col min="2" max="2" width="25.25" customWidth="1"/>
    <col min="3" max="3" width="19.25" customWidth="1"/>
    <col min="4" max="4" width="21.75" style="3" customWidth="1"/>
    <col min="5" max="5" width="18.625" style="3" customWidth="1"/>
    <col min="6" max="6" width="25.25" style="3" customWidth="1"/>
    <col min="7" max="7" width="15.25" customWidth="1"/>
    <col min="8" max="8" width="17.75" customWidth="1"/>
  </cols>
  <sheetData>
    <row r="1" spans="1:6" x14ac:dyDescent="0.3">
      <c r="A1" t="s">
        <v>0</v>
      </c>
      <c r="B1" t="s">
        <v>19</v>
      </c>
      <c r="D1" s="3" t="s">
        <v>16</v>
      </c>
      <c r="E1" s="3" t="s">
        <v>17</v>
      </c>
      <c r="F1" s="3" t="s">
        <v>18</v>
      </c>
    </row>
    <row r="2" spans="1:6" x14ac:dyDescent="0.3">
      <c r="A2" s="1">
        <v>46078</v>
      </c>
      <c r="B2" s="2" t="s">
        <v>20</v>
      </c>
      <c r="C2" t="s">
        <v>1</v>
      </c>
      <c r="D2" s="3">
        <v>-4499462.5</v>
      </c>
      <c r="E2" s="3">
        <v>-3563154</v>
      </c>
      <c r="F2" s="3">
        <v>-3433621</v>
      </c>
    </row>
    <row r="3" spans="1:6" x14ac:dyDescent="0.3">
      <c r="A3" s="1">
        <v>46078</v>
      </c>
      <c r="B3" s="2" t="s">
        <v>21</v>
      </c>
      <c r="C3" t="s">
        <v>2</v>
      </c>
      <c r="D3" s="3">
        <v>-2249746.41</v>
      </c>
      <c r="E3" s="3">
        <v>-1783409</v>
      </c>
      <c r="F3" s="3">
        <v>-1718651</v>
      </c>
    </row>
    <row r="4" spans="1:6" x14ac:dyDescent="0.3">
      <c r="A4" s="1">
        <v>46078</v>
      </c>
      <c r="B4" s="2" t="s">
        <v>22</v>
      </c>
      <c r="C4" t="s">
        <v>3</v>
      </c>
      <c r="D4" s="3">
        <v>-29553.93</v>
      </c>
      <c r="E4" s="3">
        <v>-26574</v>
      </c>
      <c r="F4" s="3">
        <v>-24928</v>
      </c>
    </row>
    <row r="5" spans="1:6" x14ac:dyDescent="0.3">
      <c r="A5" s="1">
        <v>46078</v>
      </c>
      <c r="B5" s="2" t="s">
        <v>23</v>
      </c>
      <c r="C5" t="s">
        <v>4</v>
      </c>
      <c r="D5" s="3">
        <v>-2227102.41</v>
      </c>
      <c r="E5" s="3">
        <v>-1752985</v>
      </c>
      <c r="F5" s="3">
        <v>-1689313</v>
      </c>
    </row>
    <row r="6" spans="1:6" s="6" customFormat="1" x14ac:dyDescent="0.3">
      <c r="A6" s="4">
        <v>46078</v>
      </c>
      <c r="B6" s="5" t="s">
        <v>24</v>
      </c>
      <c r="C6" s="6" t="s">
        <v>5</v>
      </c>
      <c r="D6" s="7">
        <v>-50427.37</v>
      </c>
      <c r="E6" s="7">
        <v>-36225</v>
      </c>
      <c r="F6" s="7">
        <v>-35122</v>
      </c>
    </row>
    <row r="7" spans="1:6" x14ac:dyDescent="0.3">
      <c r="A7" s="1">
        <v>46079</v>
      </c>
      <c r="B7" s="2" t="s">
        <v>25</v>
      </c>
      <c r="C7" t="s">
        <v>6</v>
      </c>
      <c r="D7" s="3">
        <v>-38249.51</v>
      </c>
      <c r="E7" s="3">
        <v>-19728</v>
      </c>
      <c r="F7" s="3">
        <v>-19165</v>
      </c>
    </row>
    <row r="8" spans="1:6" x14ac:dyDescent="0.3">
      <c r="A8" s="1">
        <v>46079</v>
      </c>
      <c r="B8" s="2" t="s">
        <v>26</v>
      </c>
      <c r="C8" t="s">
        <v>7</v>
      </c>
      <c r="D8" s="3">
        <v>-7299687.79</v>
      </c>
      <c r="E8" s="3">
        <v>-7983451</v>
      </c>
      <c r="F8" s="3">
        <v>-7414287</v>
      </c>
    </row>
    <row r="9" spans="1:6" x14ac:dyDescent="0.3">
      <c r="A9" s="1">
        <v>46079</v>
      </c>
      <c r="B9" s="2" t="s">
        <v>22</v>
      </c>
      <c r="C9" t="s">
        <v>8</v>
      </c>
      <c r="D9" s="3">
        <v>-29522.77</v>
      </c>
      <c r="E9" s="3">
        <v>-29694</v>
      </c>
      <c r="F9" s="3">
        <v>-27921</v>
      </c>
    </row>
    <row r="10" spans="1:6" x14ac:dyDescent="0.3">
      <c r="A10" s="1">
        <v>46079</v>
      </c>
      <c r="B10" s="2" t="s">
        <v>27</v>
      </c>
      <c r="C10" t="s">
        <v>9</v>
      </c>
      <c r="D10" s="3">
        <v>-4864269.1100000003</v>
      </c>
      <c r="E10" s="3">
        <v>-5321547</v>
      </c>
      <c r="F10" s="3">
        <v>-4942143</v>
      </c>
    </row>
    <row r="11" spans="1:6" s="6" customFormat="1" x14ac:dyDescent="0.3">
      <c r="A11" s="4">
        <v>46079</v>
      </c>
      <c r="B11" s="5" t="s">
        <v>28</v>
      </c>
      <c r="C11" s="6" t="s">
        <v>10</v>
      </c>
      <c r="D11" s="7">
        <v>-2428850.4300000002</v>
      </c>
      <c r="E11" s="7">
        <v>-2661387</v>
      </c>
      <c r="F11" s="7">
        <v>-2471743</v>
      </c>
    </row>
    <row r="12" spans="1:6" x14ac:dyDescent="0.3">
      <c r="A12" s="1">
        <v>46080</v>
      </c>
      <c r="B12" s="2" t="s">
        <v>22</v>
      </c>
      <c r="C12" t="s">
        <v>11</v>
      </c>
      <c r="D12" s="3">
        <v>-29503.75</v>
      </c>
      <c r="E12" s="3">
        <v>-30611</v>
      </c>
      <c r="F12" s="3">
        <v>-28801</v>
      </c>
    </row>
    <row r="13" spans="1:6" x14ac:dyDescent="0.3">
      <c r="A13" s="1">
        <v>46080</v>
      </c>
      <c r="B13" s="2" t="s">
        <v>25</v>
      </c>
      <c r="C13" t="s">
        <v>12</v>
      </c>
      <c r="D13" s="3">
        <v>-38305.57</v>
      </c>
      <c r="E13" s="3">
        <v>-20346</v>
      </c>
      <c r="F13" s="3">
        <v>-19764</v>
      </c>
    </row>
    <row r="14" spans="1:6" x14ac:dyDescent="0.3">
      <c r="A14" s="1">
        <v>46080</v>
      </c>
      <c r="B14" s="2" t="s">
        <v>29</v>
      </c>
      <c r="C14" t="s">
        <v>13</v>
      </c>
      <c r="D14" s="3">
        <v>-41314.129999999997</v>
      </c>
      <c r="E14" s="3">
        <v>-28317</v>
      </c>
      <c r="F14" s="3">
        <v>-26606</v>
      </c>
    </row>
    <row r="15" spans="1:6" x14ac:dyDescent="0.3">
      <c r="A15" s="1">
        <v>46080</v>
      </c>
      <c r="B15" s="2" t="s">
        <v>27</v>
      </c>
      <c r="C15" t="s">
        <v>14</v>
      </c>
      <c r="D15" s="3">
        <v>-4866485.79</v>
      </c>
      <c r="E15" s="3">
        <v>-5298821</v>
      </c>
      <c r="F15" s="3">
        <v>-4921050</v>
      </c>
    </row>
    <row r="16" spans="1:6" s="6" customFormat="1" x14ac:dyDescent="0.3">
      <c r="A16" s="4">
        <v>46080</v>
      </c>
      <c r="B16" s="5" t="s">
        <v>21</v>
      </c>
      <c r="C16" s="6" t="s">
        <v>15</v>
      </c>
      <c r="D16" s="7">
        <v>-2246939.13</v>
      </c>
      <c r="E16" s="7">
        <v>-1770018</v>
      </c>
      <c r="F16" s="7">
        <v>-1705814</v>
      </c>
    </row>
    <row r="17" spans="8:8" x14ac:dyDescent="0.3">
      <c r="H17">
        <f>15+20 + 66</f>
        <v>101</v>
      </c>
    </row>
    <row r="18" spans="8:8" x14ac:dyDescent="0.3">
      <c r="H18">
        <f>14+9+62</f>
        <v>85</v>
      </c>
    </row>
    <row r="19" spans="8:8" x14ac:dyDescent="0.3">
      <c r="H19">
        <f>SUM(H17+H18)</f>
        <v>186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B939-3782-4088-A09C-25CBA2756898}">
  <dimension ref="A1:BC21"/>
  <sheetViews>
    <sheetView zoomScale="90" zoomScaleNormal="90" workbookViewId="0">
      <selection activeCell="L49" sqref="L49"/>
    </sheetView>
  </sheetViews>
  <sheetFormatPr defaultRowHeight="14.25" x14ac:dyDescent="0.3"/>
  <cols>
    <col min="1" max="1" width="10.25" bestFit="1" customWidth="1"/>
    <col min="2" max="2" width="15.125" customWidth="1"/>
    <col min="3" max="3" width="16.375" customWidth="1"/>
    <col min="4" max="4" width="13.5" bestFit="1" customWidth="1"/>
    <col min="5" max="5" width="17.125" style="3" customWidth="1"/>
    <col min="6" max="6" width="23.75" style="23" customWidth="1"/>
    <col min="7" max="7" width="24.875" bestFit="1" customWidth="1"/>
    <col min="14" max="14" width="12.25" bestFit="1" customWidth="1"/>
    <col min="15" max="15" width="20.25" bestFit="1" customWidth="1"/>
    <col min="16" max="16" width="34.5" bestFit="1" customWidth="1"/>
    <col min="17" max="17" width="19.875" bestFit="1" customWidth="1"/>
    <col min="18" max="33" width="12.25" bestFit="1" customWidth="1"/>
    <col min="34" max="34" width="10.875" bestFit="1" customWidth="1"/>
    <col min="35" max="35" width="11.375" bestFit="1" customWidth="1"/>
    <col min="36" max="36" width="18" bestFit="1" customWidth="1"/>
    <col min="37" max="37" width="12.25" bestFit="1" customWidth="1"/>
    <col min="38" max="38" width="18" bestFit="1" customWidth="1"/>
    <col min="39" max="39" width="12.25" bestFit="1" customWidth="1"/>
    <col min="40" max="40" width="18" bestFit="1" customWidth="1"/>
    <col min="41" max="41" width="12.25" bestFit="1" customWidth="1"/>
    <col min="42" max="42" width="18" bestFit="1" customWidth="1"/>
    <col min="43" max="43" width="12.25" bestFit="1" customWidth="1"/>
    <col min="44" max="44" width="18" bestFit="1" customWidth="1"/>
    <col min="45" max="45" width="12.25" bestFit="1" customWidth="1"/>
    <col min="46" max="46" width="18" bestFit="1" customWidth="1"/>
    <col min="47" max="47" width="12.25" bestFit="1" customWidth="1"/>
    <col min="48" max="48" width="18" bestFit="1" customWidth="1"/>
    <col min="49" max="49" width="12.25" bestFit="1" customWidth="1"/>
    <col min="50" max="50" width="18" bestFit="1" customWidth="1"/>
    <col min="51" max="51" width="12.25" bestFit="1" customWidth="1"/>
    <col min="52" max="52" width="16.5" bestFit="1" customWidth="1"/>
    <col min="53" max="53" width="12.25" bestFit="1" customWidth="1"/>
    <col min="54" max="54" width="16.5" bestFit="1" customWidth="1"/>
    <col min="55" max="55" width="11.375" bestFit="1" customWidth="1"/>
  </cols>
  <sheetData>
    <row r="1" spans="1:55" x14ac:dyDescent="0.3">
      <c r="A1" t="s">
        <v>0</v>
      </c>
      <c r="B1" t="s">
        <v>35</v>
      </c>
      <c r="D1" s="3" t="s">
        <v>16</v>
      </c>
      <c r="E1" s="3" t="s">
        <v>17</v>
      </c>
      <c r="F1" s="23" t="s">
        <v>18</v>
      </c>
      <c r="G1" s="23" t="s">
        <v>171</v>
      </c>
      <c r="N1" s="18" t="s">
        <v>172</v>
      </c>
      <c r="O1" t="s">
        <v>174</v>
      </c>
      <c r="P1" t="s">
        <v>176</v>
      </c>
      <c r="Q1" t="s">
        <v>175</v>
      </c>
    </row>
    <row r="2" spans="1:55" x14ac:dyDescent="0.3">
      <c r="A2" s="1">
        <v>46078</v>
      </c>
      <c r="B2" s="2" t="s">
        <v>42</v>
      </c>
      <c r="C2" t="s">
        <v>1</v>
      </c>
      <c r="D2" s="3">
        <v>-2418340.73</v>
      </c>
      <c r="E2" s="3">
        <v>-2461133</v>
      </c>
      <c r="F2" s="11">
        <v>-2211625</v>
      </c>
      <c r="G2" t="s">
        <v>1</v>
      </c>
      <c r="N2" s="19" t="s">
        <v>42</v>
      </c>
      <c r="O2" s="21">
        <v>-2786904.8766666665</v>
      </c>
      <c r="P2" s="21">
        <v>-1822301.6666666667</v>
      </c>
      <c r="Q2" s="21">
        <v>-2097660.6666666665</v>
      </c>
    </row>
    <row r="3" spans="1:55" x14ac:dyDescent="0.3">
      <c r="A3" s="1">
        <v>46078</v>
      </c>
      <c r="B3" s="2" t="s">
        <v>41</v>
      </c>
      <c r="C3" t="s">
        <v>2</v>
      </c>
      <c r="D3" s="3">
        <v>-2442395.69</v>
      </c>
      <c r="E3" s="3">
        <v>-2698848</v>
      </c>
      <c r="F3" s="23">
        <v>-2506683</v>
      </c>
      <c r="G3" t="s">
        <v>2</v>
      </c>
      <c r="N3" s="19" t="s">
        <v>41</v>
      </c>
      <c r="O3" s="21">
        <v>-4538865.8766666669</v>
      </c>
      <c r="P3" s="21">
        <v>-1784289.6666666667</v>
      </c>
      <c r="Q3" s="21">
        <v>-1955133.3333333333</v>
      </c>
    </row>
    <row r="4" spans="1:55" x14ac:dyDescent="0.3">
      <c r="A4" s="1">
        <v>46078</v>
      </c>
      <c r="B4" s="2" t="s">
        <v>43</v>
      </c>
      <c r="C4" t="s">
        <v>3</v>
      </c>
      <c r="D4" s="3">
        <v>-3108850.22</v>
      </c>
      <c r="E4" s="3">
        <v>-2033493</v>
      </c>
      <c r="F4" s="23">
        <v>-1907596</v>
      </c>
      <c r="G4" t="s">
        <v>3</v>
      </c>
      <c r="N4" s="19" t="s">
        <v>43</v>
      </c>
      <c r="O4" s="21">
        <v>-2712736.4066666667</v>
      </c>
      <c r="P4" s="21">
        <v>-2293996.6666666665</v>
      </c>
      <c r="Q4" s="21">
        <v>-2500180.3333333335</v>
      </c>
    </row>
    <row r="5" spans="1:55" x14ac:dyDescent="0.3">
      <c r="A5" s="1">
        <v>46078</v>
      </c>
      <c r="B5" s="2" t="s">
        <v>44</v>
      </c>
      <c r="C5" t="s">
        <v>4</v>
      </c>
      <c r="D5" s="3">
        <v>-23349833.870000001</v>
      </c>
      <c r="E5" s="3">
        <v>-26840655</v>
      </c>
      <c r="F5" s="23">
        <v>-19237082</v>
      </c>
      <c r="G5" t="s">
        <v>4</v>
      </c>
      <c r="N5" s="19" t="s">
        <v>44</v>
      </c>
      <c r="O5" s="21">
        <v>-20599381.774999999</v>
      </c>
      <c r="P5" s="21">
        <v>-15578143.5</v>
      </c>
      <c r="Q5" s="21">
        <v>-24145598</v>
      </c>
    </row>
    <row r="6" spans="1:55" x14ac:dyDescent="0.3">
      <c r="A6" s="1">
        <v>46078</v>
      </c>
      <c r="B6" s="2" t="s">
        <v>45</v>
      </c>
      <c r="C6" t="s">
        <v>5</v>
      </c>
      <c r="D6" s="8">
        <v>-14143753.18</v>
      </c>
      <c r="E6" s="8">
        <v>-11214978</v>
      </c>
      <c r="F6" s="9">
        <v>-10188485</v>
      </c>
      <c r="G6" t="s">
        <v>5</v>
      </c>
      <c r="N6" s="19" t="s">
        <v>45</v>
      </c>
      <c r="O6" s="21">
        <v>-14143753.18</v>
      </c>
      <c r="P6" s="21">
        <v>-9201999</v>
      </c>
      <c r="Q6" s="21">
        <v>-11214978</v>
      </c>
    </row>
    <row r="7" spans="1:55" x14ac:dyDescent="0.3">
      <c r="A7" s="1">
        <v>46078</v>
      </c>
      <c r="B7" s="2" t="s">
        <v>46</v>
      </c>
      <c r="C7" t="s">
        <v>6</v>
      </c>
      <c r="D7" s="3">
        <v>-13550827.27</v>
      </c>
      <c r="E7" s="3">
        <v>-9803965</v>
      </c>
      <c r="F7" s="23">
        <v>-9389765</v>
      </c>
      <c r="G7" t="s">
        <v>6</v>
      </c>
      <c r="N7" s="19" t="s">
        <v>46</v>
      </c>
      <c r="O7" s="21">
        <v>-11551482.475</v>
      </c>
      <c r="P7" s="21">
        <v>-7411134</v>
      </c>
      <c r="Q7" s="21">
        <v>-8341738</v>
      </c>
    </row>
    <row r="8" spans="1:55" x14ac:dyDescent="0.3">
      <c r="A8" s="1">
        <v>46078</v>
      </c>
      <c r="B8" s="2" t="s">
        <v>47</v>
      </c>
      <c r="C8" t="s">
        <v>7</v>
      </c>
      <c r="D8" s="3">
        <v>-1518813.98</v>
      </c>
      <c r="E8" s="3">
        <v>-1954812</v>
      </c>
      <c r="F8" s="24">
        <v>-1964768</v>
      </c>
      <c r="G8" t="s">
        <v>7</v>
      </c>
      <c r="N8" s="19" t="s">
        <v>47</v>
      </c>
      <c r="O8" s="21">
        <v>-1389643.03</v>
      </c>
      <c r="P8" s="21">
        <v>-1770461.5</v>
      </c>
      <c r="Q8" s="21">
        <v>-1814737.5</v>
      </c>
    </row>
    <row r="9" spans="1:55" x14ac:dyDescent="0.3">
      <c r="A9" s="1">
        <v>46078</v>
      </c>
      <c r="B9" s="2" t="s">
        <v>48</v>
      </c>
      <c r="C9" t="s">
        <v>8</v>
      </c>
      <c r="D9" s="3">
        <v>-2148771.94</v>
      </c>
      <c r="E9" s="3">
        <v>-2474560</v>
      </c>
      <c r="F9" s="24">
        <v>-2350800</v>
      </c>
      <c r="G9" t="s">
        <v>8</v>
      </c>
      <c r="N9" s="19" t="s">
        <v>48</v>
      </c>
      <c r="O9" s="21">
        <v>-2212413.375</v>
      </c>
      <c r="P9" s="21">
        <v>-2353982</v>
      </c>
      <c r="Q9" s="21">
        <v>-2514944.5</v>
      </c>
    </row>
    <row r="10" spans="1:55" s="6" customFormat="1" x14ac:dyDescent="0.3">
      <c r="A10" s="4">
        <v>46078</v>
      </c>
      <c r="B10" s="5" t="s">
        <v>49</v>
      </c>
      <c r="C10" s="6" t="s">
        <v>9</v>
      </c>
      <c r="D10" s="7">
        <v>-154654.98000000001</v>
      </c>
      <c r="E10" s="7">
        <v>-1559557</v>
      </c>
      <c r="F10" s="25">
        <v>-1571187</v>
      </c>
      <c r="G10" t="s">
        <v>9</v>
      </c>
      <c r="N10" s="19" t="s">
        <v>49</v>
      </c>
      <c r="O10" s="21">
        <v>-560995.625</v>
      </c>
      <c r="P10" s="21">
        <v>-1667272</v>
      </c>
      <c r="Q10" s="21">
        <v>-1742726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</row>
    <row r="11" spans="1:55" x14ac:dyDescent="0.3">
      <c r="A11" s="1">
        <v>46079</v>
      </c>
      <c r="B11" s="2" t="s">
        <v>42</v>
      </c>
      <c r="C11" t="s">
        <v>10</v>
      </c>
      <c r="D11" s="8">
        <v>-2423712.96</v>
      </c>
      <c r="E11" s="8">
        <v>-2693964</v>
      </c>
      <c r="F11" s="9">
        <v>-2474348</v>
      </c>
      <c r="G11" t="s">
        <v>10</v>
      </c>
      <c r="N11" s="19" t="s">
        <v>173</v>
      </c>
      <c r="O11" s="20">
        <v>-5844355.3609999996</v>
      </c>
      <c r="P11" s="21">
        <v>-4223287.45</v>
      </c>
      <c r="Q11" s="21">
        <v>-5399669.4500000002</v>
      </c>
    </row>
    <row r="12" spans="1:55" x14ac:dyDescent="0.3">
      <c r="A12" s="1">
        <v>46079</v>
      </c>
      <c r="B12" s="2" t="s">
        <v>41</v>
      </c>
      <c r="C12" t="s">
        <v>11</v>
      </c>
      <c r="D12" s="3">
        <v>-2477333.04</v>
      </c>
      <c r="E12" s="3">
        <v>-2737560</v>
      </c>
      <c r="F12" s="23">
        <v>-2542436</v>
      </c>
      <c r="G12" t="s">
        <v>11</v>
      </c>
    </row>
    <row r="13" spans="1:55" x14ac:dyDescent="0.3">
      <c r="A13" s="1">
        <v>46079</v>
      </c>
      <c r="B13" s="2" t="s">
        <v>43</v>
      </c>
      <c r="C13" t="s">
        <v>12</v>
      </c>
      <c r="D13" s="3">
        <v>-2499297.54</v>
      </c>
      <c r="E13" s="3">
        <v>-2755970</v>
      </c>
      <c r="F13" s="23">
        <v>-2573136</v>
      </c>
      <c r="G13" t="s">
        <v>12</v>
      </c>
    </row>
    <row r="14" spans="1:55" x14ac:dyDescent="0.3">
      <c r="A14" s="1">
        <v>46079</v>
      </c>
      <c r="B14" s="2" t="s">
        <v>44</v>
      </c>
      <c r="C14" t="s">
        <v>13</v>
      </c>
      <c r="D14" s="3">
        <v>-17848929.68</v>
      </c>
      <c r="E14" s="3">
        <v>-21450541</v>
      </c>
      <c r="F14" s="23">
        <v>-16359554</v>
      </c>
      <c r="G14" t="s">
        <v>13</v>
      </c>
    </row>
    <row r="15" spans="1:55" x14ac:dyDescent="0.3">
      <c r="A15" s="1">
        <v>46079</v>
      </c>
      <c r="B15" s="2" t="s">
        <v>46</v>
      </c>
      <c r="C15" t="s">
        <v>14</v>
      </c>
      <c r="D15" s="8">
        <v>-9552137.6799999997</v>
      </c>
      <c r="E15" s="8">
        <v>-6879511</v>
      </c>
      <c r="F15" s="9">
        <v>-6414442</v>
      </c>
      <c r="G15" t="s">
        <v>14</v>
      </c>
    </row>
    <row r="16" spans="1:55" x14ac:dyDescent="0.3">
      <c r="A16" s="1">
        <v>46079</v>
      </c>
      <c r="B16" t="s">
        <v>47</v>
      </c>
      <c r="C16" t="s">
        <v>15</v>
      </c>
      <c r="D16" s="9">
        <v>-1260472.08</v>
      </c>
      <c r="E16" s="3">
        <v>-1674663</v>
      </c>
      <c r="F16" s="21">
        <v>-1713825</v>
      </c>
      <c r="G16" t="s">
        <v>15</v>
      </c>
    </row>
    <row r="17" spans="1:16" x14ac:dyDescent="0.3">
      <c r="A17" s="1">
        <v>46079</v>
      </c>
      <c r="B17" t="s">
        <v>48</v>
      </c>
      <c r="C17" t="s">
        <v>36</v>
      </c>
      <c r="D17" s="9">
        <v>-2276054.81</v>
      </c>
      <c r="E17" s="3">
        <v>-2555329</v>
      </c>
      <c r="F17" s="24">
        <v>-2408414</v>
      </c>
      <c r="G17" t="s">
        <v>36</v>
      </c>
    </row>
    <row r="18" spans="1:16" s="6" customFormat="1" x14ac:dyDescent="0.3">
      <c r="A18" s="4">
        <v>46079</v>
      </c>
      <c r="B18" s="6" t="s">
        <v>49</v>
      </c>
      <c r="C18" t="s">
        <v>37</v>
      </c>
      <c r="D18" s="10">
        <v>-967336.27</v>
      </c>
      <c r="E18" s="7">
        <v>-1925895</v>
      </c>
      <c r="F18" s="25">
        <v>-1910163</v>
      </c>
      <c r="G18" t="s">
        <v>37</v>
      </c>
      <c r="N18"/>
      <c r="O18"/>
      <c r="P18"/>
    </row>
    <row r="19" spans="1:16" x14ac:dyDescent="0.3">
      <c r="A19" s="1">
        <v>46445</v>
      </c>
      <c r="B19" t="s">
        <v>42</v>
      </c>
      <c r="C19" s="22" t="s">
        <v>38</v>
      </c>
      <c r="D19" s="9">
        <v>-3518660.94</v>
      </c>
      <c r="E19" s="3">
        <v>-1137885</v>
      </c>
      <c r="F19" s="23">
        <v>-911483</v>
      </c>
      <c r="G19" t="s">
        <v>38</v>
      </c>
    </row>
    <row r="20" spans="1:16" x14ac:dyDescent="0.3">
      <c r="A20" s="1">
        <v>46445</v>
      </c>
      <c r="B20" t="s">
        <v>41</v>
      </c>
      <c r="C20" t="s">
        <v>39</v>
      </c>
      <c r="D20" s="9">
        <v>-8696868.9000000004</v>
      </c>
      <c r="E20" s="3">
        <v>-428992</v>
      </c>
      <c r="F20" s="23">
        <v>-383256</v>
      </c>
      <c r="G20" t="s">
        <v>39</v>
      </c>
    </row>
    <row r="21" spans="1:16" x14ac:dyDescent="0.3">
      <c r="A21" s="1">
        <v>46445</v>
      </c>
      <c r="B21" t="s">
        <v>43</v>
      </c>
      <c r="C21" t="s">
        <v>40</v>
      </c>
      <c r="D21" s="9">
        <v>-2530061.46</v>
      </c>
      <c r="E21" s="3">
        <v>-2711078</v>
      </c>
      <c r="F21" s="23">
        <v>-2527503</v>
      </c>
      <c r="G21" t="s">
        <v>40</v>
      </c>
    </row>
  </sheetData>
  <autoFilter ref="A1:G21" xr:uid="{6AE3B939-3782-4088-A09C-25CBA2756898}"/>
  <phoneticPr fontId="2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64D5-41C1-4160-A5A2-26394E6393EA}">
  <dimension ref="A1:N67"/>
  <sheetViews>
    <sheetView zoomScale="90" zoomScaleNormal="90" workbookViewId="0">
      <selection activeCell="C2" sqref="C2"/>
    </sheetView>
  </sheetViews>
  <sheetFormatPr defaultRowHeight="14.25" x14ac:dyDescent="0.3"/>
  <cols>
    <col min="1" max="1" width="10.125" bestFit="1" customWidth="1"/>
    <col min="2" max="2" width="21.75" bestFit="1" customWidth="1"/>
    <col min="3" max="3" width="9.75" bestFit="1" customWidth="1"/>
    <col min="4" max="4" width="14" style="3" bestFit="1" customWidth="1"/>
    <col min="5" max="5" width="17.125" style="3" customWidth="1"/>
    <col min="6" max="6" width="31.5" style="23" customWidth="1"/>
    <col min="7" max="7" width="13.75" style="3" bestFit="1" customWidth="1"/>
    <col min="8" max="8" width="24.75" bestFit="1" customWidth="1"/>
    <col min="11" max="11" width="21.75" bestFit="1" customWidth="1"/>
    <col min="12" max="12" width="20.25" bestFit="1" customWidth="1"/>
    <col min="13" max="13" width="19.875" bestFit="1" customWidth="1"/>
    <col min="14" max="14" width="34.5" bestFit="1" customWidth="1"/>
  </cols>
  <sheetData>
    <row r="1" spans="1:14" x14ac:dyDescent="0.3">
      <c r="A1" t="s">
        <v>0</v>
      </c>
      <c r="B1" t="s">
        <v>35</v>
      </c>
      <c r="C1" t="s">
        <v>171</v>
      </c>
      <c r="D1" s="3" t="s">
        <v>16</v>
      </c>
      <c r="E1" s="3" t="s">
        <v>17</v>
      </c>
      <c r="F1" s="23" t="s">
        <v>18</v>
      </c>
      <c r="G1" s="3" t="s">
        <v>74</v>
      </c>
      <c r="H1" s="23"/>
      <c r="K1" s="18" t="s">
        <v>172</v>
      </c>
      <c r="L1" t="s">
        <v>174</v>
      </c>
      <c r="M1" t="s">
        <v>175</v>
      </c>
      <c r="N1" t="s">
        <v>176</v>
      </c>
    </row>
    <row r="2" spans="1:14" x14ac:dyDescent="0.3">
      <c r="A2" s="1">
        <v>46078</v>
      </c>
      <c r="B2" t="s">
        <v>55</v>
      </c>
      <c r="C2" t="s">
        <v>50</v>
      </c>
      <c r="D2" s="3">
        <v>-24321.11</v>
      </c>
      <c r="E2" s="23">
        <v>-7569</v>
      </c>
      <c r="F2" s="23">
        <v>-7312</v>
      </c>
      <c r="K2" s="19" t="s">
        <v>55</v>
      </c>
      <c r="L2" s="21">
        <v>-23834.873333333333</v>
      </c>
      <c r="M2" s="21">
        <v>-7986.666666666667</v>
      </c>
      <c r="N2" s="21">
        <v>-7600.333333333333</v>
      </c>
    </row>
    <row r="3" spans="1:14" x14ac:dyDescent="0.3">
      <c r="A3" s="1">
        <v>46078</v>
      </c>
      <c r="B3" t="s">
        <v>56</v>
      </c>
      <c r="C3" t="s">
        <v>51</v>
      </c>
      <c r="D3" s="3">
        <v>-224159.12</v>
      </c>
      <c r="E3" s="23">
        <v>-38020</v>
      </c>
      <c r="F3" s="24">
        <v>-37053</v>
      </c>
      <c r="K3" s="19" t="s">
        <v>56</v>
      </c>
      <c r="L3" s="21">
        <v>-441098.53333333338</v>
      </c>
      <c r="M3" s="21">
        <v>-88013</v>
      </c>
      <c r="N3" s="21">
        <v>-82313</v>
      </c>
    </row>
    <row r="4" spans="1:14" x14ac:dyDescent="0.3">
      <c r="A4" s="1">
        <v>46078</v>
      </c>
      <c r="B4" t="s">
        <v>57</v>
      </c>
      <c r="C4" t="s">
        <v>52</v>
      </c>
      <c r="D4" s="3">
        <v>-109260.23</v>
      </c>
      <c r="E4" s="23">
        <v>-14654</v>
      </c>
      <c r="F4" s="24">
        <v>-14623</v>
      </c>
      <c r="K4" s="19" t="s">
        <v>57</v>
      </c>
      <c r="L4" s="21">
        <v>-106101.18333333333</v>
      </c>
      <c r="M4" s="21">
        <v>-27354</v>
      </c>
      <c r="N4" s="21">
        <v>-26131.333333333332</v>
      </c>
    </row>
    <row r="5" spans="1:14" x14ac:dyDescent="0.3">
      <c r="A5" s="1">
        <v>46078</v>
      </c>
      <c r="B5" t="s">
        <v>58</v>
      </c>
      <c r="C5" t="s">
        <v>53</v>
      </c>
      <c r="D5" s="3">
        <v>0</v>
      </c>
      <c r="E5" s="23">
        <v>-21770</v>
      </c>
      <c r="F5" s="23">
        <v>-21041</v>
      </c>
      <c r="G5" s="12">
        <v>1659.01</v>
      </c>
      <c r="K5" s="19" t="s">
        <v>58</v>
      </c>
      <c r="L5" s="21">
        <v>0</v>
      </c>
      <c r="M5" s="21">
        <v>-20663.333333333332</v>
      </c>
      <c r="N5" s="21">
        <v>-19703.666666666668</v>
      </c>
    </row>
    <row r="6" spans="1:14" x14ac:dyDescent="0.3">
      <c r="A6" s="1">
        <v>46078</v>
      </c>
      <c r="B6" t="s">
        <v>59</v>
      </c>
      <c r="C6" t="s">
        <v>54</v>
      </c>
      <c r="D6" s="3">
        <v>0</v>
      </c>
      <c r="E6" s="23">
        <v>-40306</v>
      </c>
      <c r="F6" s="23">
        <v>-39302</v>
      </c>
      <c r="G6" s="12">
        <v>27227.01</v>
      </c>
      <c r="K6" s="19" t="s">
        <v>59</v>
      </c>
      <c r="L6" s="21">
        <v>0</v>
      </c>
      <c r="M6" s="21">
        <v>-70936</v>
      </c>
      <c r="N6" s="21">
        <v>-66455</v>
      </c>
    </row>
    <row r="7" spans="1:14" x14ac:dyDescent="0.3">
      <c r="A7" s="1">
        <v>46078</v>
      </c>
      <c r="B7" t="s">
        <v>60</v>
      </c>
      <c r="C7" t="s">
        <v>67</v>
      </c>
      <c r="D7" s="3">
        <v>0</v>
      </c>
      <c r="E7" s="23">
        <v>-32946</v>
      </c>
      <c r="F7" s="23">
        <v>-32674</v>
      </c>
      <c r="G7" s="12">
        <v>37183.67</v>
      </c>
      <c r="K7" s="19" t="s">
        <v>60</v>
      </c>
      <c r="L7" s="21">
        <v>-70829.776666666658</v>
      </c>
      <c r="M7" s="21">
        <v>-59721.333333333336</v>
      </c>
      <c r="N7" s="21">
        <v>-56886</v>
      </c>
    </row>
    <row r="8" spans="1:14" x14ac:dyDescent="0.3">
      <c r="A8" s="1">
        <v>46078</v>
      </c>
      <c r="B8" t="s">
        <v>61</v>
      </c>
      <c r="C8" t="s">
        <v>68</v>
      </c>
      <c r="D8" s="3">
        <v>0</v>
      </c>
      <c r="E8" s="23">
        <v>-61841</v>
      </c>
      <c r="F8" s="23">
        <v>-62159</v>
      </c>
      <c r="G8" s="12">
        <v>6493.55</v>
      </c>
      <c r="K8" s="19" t="s">
        <v>61</v>
      </c>
      <c r="L8" s="21">
        <v>0</v>
      </c>
      <c r="M8" s="21">
        <v>-73241.333333333328</v>
      </c>
      <c r="N8" s="21">
        <v>-72890</v>
      </c>
    </row>
    <row r="9" spans="1:14" x14ac:dyDescent="0.3">
      <c r="A9" s="1">
        <v>46078</v>
      </c>
      <c r="B9" t="s">
        <v>62</v>
      </c>
      <c r="C9" t="s">
        <v>69</v>
      </c>
      <c r="D9" s="3">
        <v>0</v>
      </c>
      <c r="E9" s="23">
        <v>-98491</v>
      </c>
      <c r="F9" s="23">
        <v>-100054</v>
      </c>
      <c r="G9" s="12">
        <v>48970.91</v>
      </c>
      <c r="K9" s="19" t="s">
        <v>62</v>
      </c>
      <c r="L9" s="21">
        <v>0</v>
      </c>
      <c r="M9" s="21">
        <v>-198184.66666666666</v>
      </c>
      <c r="N9" s="21">
        <v>-192486</v>
      </c>
    </row>
    <row r="10" spans="1:14" x14ac:dyDescent="0.3">
      <c r="A10" s="1">
        <v>46078</v>
      </c>
      <c r="B10" t="s">
        <v>63</v>
      </c>
      <c r="C10" t="s">
        <v>70</v>
      </c>
      <c r="D10" s="3">
        <v>0</v>
      </c>
      <c r="E10" s="23">
        <v>-157722</v>
      </c>
      <c r="F10" s="23">
        <v>-154523</v>
      </c>
      <c r="G10" s="12">
        <v>164718.82999999999</v>
      </c>
      <c r="K10" s="19" t="s">
        <v>63</v>
      </c>
      <c r="L10" s="21">
        <v>0</v>
      </c>
      <c r="M10" s="21">
        <v>-150941.33333333334</v>
      </c>
      <c r="N10" s="21">
        <v>-142404.66666666666</v>
      </c>
    </row>
    <row r="11" spans="1:14" x14ac:dyDescent="0.3">
      <c r="A11" s="1">
        <v>46078</v>
      </c>
      <c r="B11" t="s">
        <v>64</v>
      </c>
      <c r="C11" t="s">
        <v>71</v>
      </c>
      <c r="D11" s="3">
        <v>-93063.84</v>
      </c>
      <c r="E11" s="23">
        <v>-59174</v>
      </c>
      <c r="F11" s="23">
        <v>-60939</v>
      </c>
      <c r="K11" s="19" t="s">
        <v>64</v>
      </c>
      <c r="L11" s="21">
        <v>-69991.62999999999</v>
      </c>
      <c r="M11" s="21">
        <v>-43723.333333333336</v>
      </c>
      <c r="N11" s="21">
        <v>-44050.666666666664</v>
      </c>
    </row>
    <row r="12" spans="1:14" x14ac:dyDescent="0.3">
      <c r="A12" s="1">
        <v>46078</v>
      </c>
      <c r="B12" t="s">
        <v>65</v>
      </c>
      <c r="C12" t="s">
        <v>72</v>
      </c>
      <c r="D12" s="3">
        <v>-373414.41</v>
      </c>
      <c r="E12" s="3">
        <v>-211742</v>
      </c>
      <c r="F12" s="23">
        <v>-213423</v>
      </c>
      <c r="K12" s="19" t="s">
        <v>65</v>
      </c>
      <c r="L12" s="21">
        <v>-449181.41</v>
      </c>
      <c r="M12" s="21">
        <v>-236524.66666666666</v>
      </c>
      <c r="N12" s="21">
        <v>-229761.33333333334</v>
      </c>
    </row>
    <row r="13" spans="1:14" x14ac:dyDescent="0.3">
      <c r="A13" s="1">
        <v>46078</v>
      </c>
      <c r="B13" t="s">
        <v>66</v>
      </c>
      <c r="C13" t="s">
        <v>73</v>
      </c>
      <c r="D13" s="3">
        <v>-168184.63</v>
      </c>
      <c r="E13" s="3">
        <v>-80039</v>
      </c>
      <c r="F13" s="23">
        <v>-78674</v>
      </c>
      <c r="K13" s="19" t="s">
        <v>66</v>
      </c>
      <c r="L13" s="21">
        <v>-166893.41666666666</v>
      </c>
      <c r="M13" s="21">
        <v>-77654</v>
      </c>
      <c r="N13" s="21">
        <v>-73538.333333333328</v>
      </c>
    </row>
    <row r="14" spans="1:14" x14ac:dyDescent="0.3">
      <c r="A14" s="1">
        <v>46078</v>
      </c>
      <c r="B14" t="s">
        <v>81</v>
      </c>
      <c r="C14" t="s">
        <v>75</v>
      </c>
      <c r="D14" s="3">
        <v>-4202638.22</v>
      </c>
      <c r="E14" s="3">
        <v>-333894</v>
      </c>
      <c r="F14" s="23">
        <v>-339597</v>
      </c>
      <c r="K14" s="19" t="s">
        <v>107</v>
      </c>
      <c r="L14" s="21">
        <v>0</v>
      </c>
      <c r="M14" s="21">
        <v>-293595</v>
      </c>
      <c r="N14" s="21">
        <v>-268949</v>
      </c>
    </row>
    <row r="15" spans="1:14" x14ac:dyDescent="0.3">
      <c r="A15" s="1">
        <v>46078</v>
      </c>
      <c r="B15" t="s">
        <v>82</v>
      </c>
      <c r="C15" t="s">
        <v>76</v>
      </c>
      <c r="D15" s="3">
        <v>0</v>
      </c>
      <c r="E15" s="3">
        <v>-161287</v>
      </c>
      <c r="F15" s="23">
        <v>-159083</v>
      </c>
      <c r="G15" s="12">
        <v>86896.18</v>
      </c>
      <c r="K15" s="19" t="s">
        <v>81</v>
      </c>
      <c r="L15" s="21">
        <v>-4202638.22</v>
      </c>
      <c r="M15" s="21">
        <v>-333894</v>
      </c>
      <c r="N15" s="21"/>
    </row>
    <row r="16" spans="1:14" x14ac:dyDescent="0.3">
      <c r="A16" s="1">
        <v>46078</v>
      </c>
      <c r="B16" t="s">
        <v>83</v>
      </c>
      <c r="C16" t="s">
        <v>77</v>
      </c>
      <c r="D16" s="3">
        <v>0</v>
      </c>
      <c r="E16" s="3">
        <v>-834067</v>
      </c>
      <c r="F16" s="23">
        <v>-869518</v>
      </c>
      <c r="G16" s="12">
        <v>508975.47</v>
      </c>
      <c r="K16" s="19" t="s">
        <v>141</v>
      </c>
      <c r="L16" s="21">
        <v>0</v>
      </c>
      <c r="M16" s="21">
        <v>-190310</v>
      </c>
      <c r="N16" s="21">
        <v>-177657</v>
      </c>
    </row>
    <row r="17" spans="1:14" x14ac:dyDescent="0.3">
      <c r="A17" s="1">
        <v>46078</v>
      </c>
      <c r="B17" t="s">
        <v>179</v>
      </c>
      <c r="C17" t="s">
        <v>78</v>
      </c>
      <c r="D17" s="3">
        <v>0</v>
      </c>
      <c r="E17" s="3">
        <v>-1348468</v>
      </c>
      <c r="F17" s="23">
        <v>-1312128</v>
      </c>
      <c r="G17" s="12">
        <v>377173.55</v>
      </c>
      <c r="K17" s="19" t="s">
        <v>82</v>
      </c>
      <c r="L17" s="21">
        <v>0</v>
      </c>
      <c r="M17" s="21">
        <v>-161287</v>
      </c>
      <c r="N17" s="21">
        <v>-148016</v>
      </c>
    </row>
    <row r="18" spans="1:14" x14ac:dyDescent="0.3">
      <c r="A18" s="1">
        <v>46078</v>
      </c>
      <c r="B18" t="s">
        <v>85</v>
      </c>
      <c r="C18" t="s">
        <v>79</v>
      </c>
      <c r="D18" s="3">
        <v>0</v>
      </c>
      <c r="E18" s="3">
        <v>-611693</v>
      </c>
      <c r="F18" s="23">
        <v>-642283</v>
      </c>
      <c r="G18" s="12">
        <v>358821.61</v>
      </c>
      <c r="K18" s="19" t="s">
        <v>105</v>
      </c>
      <c r="L18" s="21">
        <v>0</v>
      </c>
      <c r="M18" s="21">
        <v>-885335</v>
      </c>
      <c r="N18" s="21">
        <v>-868408</v>
      </c>
    </row>
    <row r="19" spans="1:14" x14ac:dyDescent="0.3">
      <c r="A19" s="1">
        <v>46078</v>
      </c>
      <c r="B19" t="s">
        <v>86</v>
      </c>
      <c r="C19" t="s">
        <v>80</v>
      </c>
      <c r="D19" s="3">
        <v>-66030.03</v>
      </c>
      <c r="E19" s="3">
        <v>-648988</v>
      </c>
      <c r="F19" s="23">
        <v>-675766</v>
      </c>
      <c r="K19" s="19" t="s">
        <v>83</v>
      </c>
      <c r="L19" s="21">
        <v>0</v>
      </c>
      <c r="M19" s="21">
        <v>-834067</v>
      </c>
      <c r="N19" s="21">
        <v>-815406</v>
      </c>
    </row>
    <row r="20" spans="1:14" x14ac:dyDescent="0.3">
      <c r="A20" s="1">
        <v>46078</v>
      </c>
      <c r="B20" t="s">
        <v>87</v>
      </c>
      <c r="C20" t="s">
        <v>90</v>
      </c>
      <c r="D20" s="3">
        <v>0</v>
      </c>
      <c r="E20" s="3">
        <v>-794811</v>
      </c>
      <c r="F20" s="23">
        <v>-963610</v>
      </c>
      <c r="G20" s="12">
        <v>9801093.0500000007</v>
      </c>
      <c r="K20" s="19" t="s">
        <v>106</v>
      </c>
      <c r="L20" s="21">
        <v>0</v>
      </c>
      <c r="M20" s="21">
        <v>-569964</v>
      </c>
      <c r="N20" s="21">
        <v>-564345.5</v>
      </c>
    </row>
    <row r="21" spans="1:14" x14ac:dyDescent="0.3">
      <c r="A21" s="1">
        <v>46078</v>
      </c>
      <c r="B21" t="s">
        <v>88</v>
      </c>
      <c r="C21" t="s">
        <v>91</v>
      </c>
      <c r="D21" s="3">
        <v>0</v>
      </c>
      <c r="E21" s="3">
        <v>-727703</v>
      </c>
      <c r="F21" s="23">
        <v>-865196</v>
      </c>
      <c r="G21" s="12">
        <v>6719825.8799999999</v>
      </c>
      <c r="K21" s="19" t="s">
        <v>140</v>
      </c>
      <c r="L21" s="21">
        <v>-130563.37</v>
      </c>
      <c r="M21" s="21">
        <v>-243304</v>
      </c>
      <c r="N21" s="21">
        <v>-233613</v>
      </c>
    </row>
    <row r="22" spans="1:14" s="6" customFormat="1" x14ac:dyDescent="0.3">
      <c r="A22" s="4">
        <v>46078</v>
      </c>
      <c r="B22" s="31" t="s">
        <v>89</v>
      </c>
      <c r="C22" s="6" t="s">
        <v>92</v>
      </c>
      <c r="D22" s="7">
        <v>0</v>
      </c>
      <c r="E22" s="7">
        <v>-1047343</v>
      </c>
      <c r="F22" s="10">
        <v>-1037910</v>
      </c>
      <c r="G22" s="13">
        <v>2108187.62</v>
      </c>
      <c r="K22" s="19" t="s">
        <v>86</v>
      </c>
      <c r="L22" s="21">
        <v>-66030.03</v>
      </c>
      <c r="M22" s="21">
        <v>-648988</v>
      </c>
      <c r="N22" s="21">
        <v>-619853</v>
      </c>
    </row>
    <row r="23" spans="1:14" x14ac:dyDescent="0.3">
      <c r="A23" s="1">
        <v>46079</v>
      </c>
      <c r="B23" t="s">
        <v>55</v>
      </c>
      <c r="C23" t="s">
        <v>93</v>
      </c>
      <c r="D23" s="3">
        <v>-23924.68</v>
      </c>
      <c r="E23" s="11">
        <v>-7891</v>
      </c>
      <c r="F23" s="23">
        <v>-7681</v>
      </c>
      <c r="K23" s="19" t="s">
        <v>142</v>
      </c>
      <c r="L23" s="21">
        <v>-1206224.68</v>
      </c>
      <c r="M23" s="21">
        <v>-421079.5</v>
      </c>
      <c r="N23" s="21">
        <v>-392347.5</v>
      </c>
    </row>
    <row r="24" spans="1:14" x14ac:dyDescent="0.3">
      <c r="A24" s="1">
        <v>46079</v>
      </c>
      <c r="B24" t="s">
        <v>56</v>
      </c>
      <c r="C24" t="s">
        <v>94</v>
      </c>
      <c r="D24" s="3">
        <v>-882945.69</v>
      </c>
      <c r="E24" s="3">
        <v>-178795</v>
      </c>
      <c r="F24" s="23">
        <v>-174800</v>
      </c>
      <c r="K24" s="19" t="s">
        <v>111</v>
      </c>
      <c r="L24" s="21"/>
      <c r="M24" s="21">
        <v>-661555</v>
      </c>
      <c r="N24" s="21">
        <v>-658840</v>
      </c>
    </row>
    <row r="25" spans="1:14" x14ac:dyDescent="0.3">
      <c r="A25" s="1">
        <v>46079</v>
      </c>
      <c r="B25" t="s">
        <v>57</v>
      </c>
      <c r="C25" t="s">
        <v>95</v>
      </c>
      <c r="D25" s="3">
        <v>0</v>
      </c>
      <c r="E25" s="3">
        <v>-32947</v>
      </c>
      <c r="F25" s="23">
        <v>-32834</v>
      </c>
      <c r="G25" s="12">
        <v>50448.13</v>
      </c>
      <c r="K25" s="19" t="s">
        <v>84</v>
      </c>
      <c r="L25" s="21">
        <v>0</v>
      </c>
      <c r="M25" s="21">
        <v>-1348468</v>
      </c>
      <c r="N25" s="21"/>
    </row>
    <row r="26" spans="1:14" x14ac:dyDescent="0.3">
      <c r="A26" s="1">
        <v>46079</v>
      </c>
      <c r="B26" t="s">
        <v>58</v>
      </c>
      <c r="C26" t="s">
        <v>96</v>
      </c>
      <c r="D26" s="3">
        <v>0</v>
      </c>
      <c r="E26" s="3">
        <v>-31746</v>
      </c>
      <c r="F26" s="23">
        <v>-30908</v>
      </c>
      <c r="G26" s="12">
        <v>5362.15</v>
      </c>
      <c r="K26" s="19" t="s">
        <v>112</v>
      </c>
      <c r="L26" s="21">
        <v>-1637842.605</v>
      </c>
      <c r="M26" s="21">
        <v>-1055049</v>
      </c>
      <c r="N26" s="21">
        <v>-1005078</v>
      </c>
    </row>
    <row r="27" spans="1:14" x14ac:dyDescent="0.3">
      <c r="A27" s="1">
        <v>46079</v>
      </c>
      <c r="B27" t="s">
        <v>59</v>
      </c>
      <c r="C27" t="s">
        <v>97</v>
      </c>
      <c r="D27" s="3">
        <v>0</v>
      </c>
      <c r="E27" s="3">
        <v>-88206</v>
      </c>
      <c r="F27" s="23">
        <v>-86266</v>
      </c>
      <c r="G27" s="12">
        <v>55415.41</v>
      </c>
      <c r="K27" s="19" t="s">
        <v>85</v>
      </c>
      <c r="L27" s="21">
        <v>0</v>
      </c>
      <c r="M27" s="21">
        <v>-611693</v>
      </c>
      <c r="N27" s="21">
        <v>587508</v>
      </c>
    </row>
    <row r="28" spans="1:14" x14ac:dyDescent="0.3">
      <c r="A28" s="1">
        <v>46079</v>
      </c>
      <c r="B28" t="s">
        <v>60</v>
      </c>
      <c r="C28" t="s">
        <v>98</v>
      </c>
      <c r="D28" s="3">
        <v>-212489.33</v>
      </c>
      <c r="E28" s="3">
        <v>-48034</v>
      </c>
      <c r="F28" s="23">
        <v>-47906</v>
      </c>
      <c r="K28" s="19" t="s">
        <v>89</v>
      </c>
      <c r="L28" s="21">
        <v>0</v>
      </c>
      <c r="M28" s="21">
        <v>-1047343</v>
      </c>
      <c r="N28" s="21">
        <v>-942894</v>
      </c>
    </row>
    <row r="29" spans="1:14" x14ac:dyDescent="0.3">
      <c r="A29" s="1">
        <v>46079</v>
      </c>
      <c r="B29" t="s">
        <v>61</v>
      </c>
      <c r="C29" t="s">
        <v>99</v>
      </c>
      <c r="D29" s="3">
        <v>0</v>
      </c>
      <c r="E29" s="3">
        <v>-86217</v>
      </c>
      <c r="F29" s="23">
        <v>-88159</v>
      </c>
      <c r="G29" s="12">
        <v>93990.09</v>
      </c>
      <c r="K29" s="19" t="s">
        <v>88</v>
      </c>
      <c r="L29" s="21">
        <v>0</v>
      </c>
      <c r="M29" s="21">
        <v>-727703</v>
      </c>
      <c r="N29" s="21">
        <v>-698894</v>
      </c>
    </row>
    <row r="30" spans="1:14" x14ac:dyDescent="0.3">
      <c r="A30" s="1">
        <v>46079</v>
      </c>
      <c r="B30" t="s">
        <v>62</v>
      </c>
      <c r="C30" t="s">
        <v>100</v>
      </c>
      <c r="D30" s="3">
        <v>0</v>
      </c>
      <c r="E30" s="3">
        <v>-395660</v>
      </c>
      <c r="F30" s="23">
        <v>-401054</v>
      </c>
      <c r="G30" s="12">
        <v>224945.37</v>
      </c>
      <c r="K30" s="19" t="s">
        <v>87</v>
      </c>
      <c r="L30" s="21">
        <v>0</v>
      </c>
      <c r="M30" s="21">
        <v>-794811</v>
      </c>
      <c r="N30" s="21">
        <v>-787011</v>
      </c>
    </row>
    <row r="31" spans="1:14" x14ac:dyDescent="0.3">
      <c r="A31" s="1">
        <v>46079</v>
      </c>
      <c r="B31" t="s">
        <v>63</v>
      </c>
      <c r="C31" t="s">
        <v>101</v>
      </c>
      <c r="D31" s="3">
        <v>0</v>
      </c>
      <c r="E31" s="3">
        <v>-76034</v>
      </c>
      <c r="F31" s="23">
        <v>-74921</v>
      </c>
      <c r="G31" s="12">
        <v>79220.429999999993</v>
      </c>
      <c r="K31" s="19" t="s">
        <v>116</v>
      </c>
      <c r="L31" s="21">
        <v>0</v>
      </c>
      <c r="M31" s="21">
        <v>-968146.5</v>
      </c>
      <c r="N31" s="21">
        <v>-979514.5</v>
      </c>
    </row>
    <row r="32" spans="1:14" x14ac:dyDescent="0.3">
      <c r="A32" s="1">
        <v>46079</v>
      </c>
      <c r="B32" t="s">
        <v>64</v>
      </c>
      <c r="C32" t="s">
        <v>102</v>
      </c>
      <c r="D32" s="3">
        <v>-69305.08</v>
      </c>
      <c r="E32" s="3">
        <v>-43393</v>
      </c>
      <c r="F32" s="23">
        <v>-44833</v>
      </c>
      <c r="K32" s="19" t="s">
        <v>119</v>
      </c>
      <c r="L32" s="21">
        <v>0</v>
      </c>
      <c r="M32" s="21">
        <v>-327884</v>
      </c>
      <c r="N32" s="21">
        <v>-290453</v>
      </c>
    </row>
    <row r="33" spans="1:14" x14ac:dyDescent="0.3">
      <c r="A33" s="1">
        <v>46079</v>
      </c>
      <c r="B33" t="s">
        <v>65</v>
      </c>
      <c r="C33" t="s">
        <v>103</v>
      </c>
      <c r="D33" s="3">
        <v>-772512.1</v>
      </c>
      <c r="E33" s="3">
        <v>-399270</v>
      </c>
      <c r="F33" s="23">
        <v>-405387</v>
      </c>
      <c r="K33" s="19" t="s">
        <v>149</v>
      </c>
      <c r="L33" s="21">
        <v>0</v>
      </c>
      <c r="M33" s="21">
        <v>-877695</v>
      </c>
      <c r="N33" s="21">
        <v>-890830</v>
      </c>
    </row>
    <row r="34" spans="1:14" x14ac:dyDescent="0.3">
      <c r="A34" s="1">
        <v>46079</v>
      </c>
      <c r="B34" t="s">
        <v>66</v>
      </c>
      <c r="C34" t="s">
        <v>104</v>
      </c>
      <c r="D34" s="3">
        <v>-169228.08</v>
      </c>
      <c r="E34" s="3">
        <v>-77027</v>
      </c>
      <c r="F34" s="23">
        <v>-76002</v>
      </c>
      <c r="K34" s="19" t="s">
        <v>117</v>
      </c>
      <c r="L34" s="21">
        <v>0</v>
      </c>
      <c r="M34" s="21">
        <v>-2669560</v>
      </c>
      <c r="N34" s="21">
        <v>-2485748.5</v>
      </c>
    </row>
    <row r="35" spans="1:14" x14ac:dyDescent="0.3">
      <c r="A35" s="1">
        <v>46079</v>
      </c>
      <c r="B35" t="s">
        <v>105</v>
      </c>
      <c r="C35" t="s">
        <v>108</v>
      </c>
      <c r="D35" s="3">
        <v>0</v>
      </c>
      <c r="E35" s="3">
        <v>-885335</v>
      </c>
      <c r="F35" s="23">
        <v>-926395</v>
      </c>
      <c r="G35" s="12">
        <v>612614.37</v>
      </c>
      <c r="K35" s="19" t="s">
        <v>118</v>
      </c>
      <c r="L35" s="21">
        <v>0</v>
      </c>
      <c r="M35" s="21">
        <v>-1937864.5</v>
      </c>
      <c r="N35" s="21">
        <v>-1871011</v>
      </c>
    </row>
    <row r="36" spans="1:14" x14ac:dyDescent="0.3">
      <c r="A36" s="1">
        <v>46079</v>
      </c>
      <c r="B36" t="s">
        <v>106</v>
      </c>
      <c r="C36" t="s">
        <v>109</v>
      </c>
      <c r="D36" s="3">
        <v>0</v>
      </c>
      <c r="E36" s="3">
        <v>-665340</v>
      </c>
      <c r="F36" s="23">
        <v>-707498</v>
      </c>
      <c r="G36" s="12">
        <v>387926.47</v>
      </c>
      <c r="K36" s="19" t="s">
        <v>128</v>
      </c>
      <c r="L36" s="21">
        <v>0</v>
      </c>
      <c r="M36" s="21">
        <v>-171141</v>
      </c>
      <c r="N36" s="21">
        <v>-157523</v>
      </c>
    </row>
    <row r="37" spans="1:14" x14ac:dyDescent="0.3">
      <c r="A37" s="1">
        <v>46079</v>
      </c>
      <c r="B37" t="s">
        <v>107</v>
      </c>
      <c r="C37" t="s">
        <v>110</v>
      </c>
      <c r="D37" s="3">
        <v>0</v>
      </c>
      <c r="E37" s="3">
        <v>-293595</v>
      </c>
      <c r="F37" s="23">
        <v>-289351</v>
      </c>
      <c r="G37" s="12">
        <v>468609.11</v>
      </c>
      <c r="K37" s="19" t="s">
        <v>129</v>
      </c>
      <c r="L37" s="21">
        <v>0</v>
      </c>
      <c r="M37" s="21">
        <v>-307545</v>
      </c>
      <c r="N37" s="21">
        <v>-288711</v>
      </c>
    </row>
    <row r="38" spans="1:14" x14ac:dyDescent="0.3">
      <c r="A38" s="1">
        <v>46079</v>
      </c>
      <c r="B38" t="s">
        <v>111</v>
      </c>
      <c r="C38" t="s">
        <v>113</v>
      </c>
      <c r="E38" s="3">
        <v>-661555</v>
      </c>
      <c r="F38" s="23">
        <v>-705462</v>
      </c>
      <c r="G38" s="12">
        <v>321738.76</v>
      </c>
    </row>
    <row r="39" spans="1:14" x14ac:dyDescent="0.3">
      <c r="A39" s="1">
        <v>46079</v>
      </c>
      <c r="B39" s="17" t="s">
        <v>112</v>
      </c>
      <c r="C39" t="s">
        <v>114</v>
      </c>
      <c r="D39" s="3">
        <v>-600201.75</v>
      </c>
      <c r="E39" s="3">
        <v>-273065</v>
      </c>
      <c r="F39" s="24">
        <v>-280726</v>
      </c>
    </row>
    <row r="40" spans="1:14" x14ac:dyDescent="0.3">
      <c r="A40" s="1">
        <v>46079</v>
      </c>
      <c r="B40" t="s">
        <v>116</v>
      </c>
      <c r="C40" t="s">
        <v>115</v>
      </c>
      <c r="D40" s="3">
        <v>0</v>
      </c>
      <c r="E40" s="3">
        <v>-171141</v>
      </c>
      <c r="F40" s="24">
        <v>-378064</v>
      </c>
      <c r="G40" s="12">
        <v>2245226.42</v>
      </c>
    </row>
    <row r="41" spans="1:14" x14ac:dyDescent="0.3">
      <c r="A41" s="1">
        <v>46079</v>
      </c>
      <c r="B41" t="s">
        <v>117</v>
      </c>
      <c r="C41" t="s">
        <v>120</v>
      </c>
      <c r="D41" s="3">
        <v>0</v>
      </c>
      <c r="E41" s="3">
        <v>-2578498</v>
      </c>
      <c r="F41" s="24">
        <v>-2448264</v>
      </c>
      <c r="G41" s="12">
        <v>16055776.09</v>
      </c>
    </row>
    <row r="42" spans="1:14" x14ac:dyDescent="0.3">
      <c r="A42" s="1">
        <v>46079</v>
      </c>
      <c r="B42" t="s">
        <v>118</v>
      </c>
      <c r="C42" t="s">
        <v>121</v>
      </c>
      <c r="D42" s="3">
        <v>0</v>
      </c>
      <c r="E42" s="3">
        <v>-1924050</v>
      </c>
      <c r="F42" s="24">
        <v>-1934783</v>
      </c>
      <c r="G42" s="12">
        <v>13840352.59</v>
      </c>
    </row>
    <row r="43" spans="1:14" x14ac:dyDescent="0.3">
      <c r="A43" s="1">
        <v>46079</v>
      </c>
      <c r="B43" t="s">
        <v>119</v>
      </c>
      <c r="C43" t="s">
        <v>122</v>
      </c>
      <c r="D43" s="3">
        <v>0</v>
      </c>
      <c r="E43" s="3">
        <v>-327884</v>
      </c>
      <c r="F43" s="24">
        <v>-417028</v>
      </c>
      <c r="G43" s="12">
        <v>3183773.37</v>
      </c>
    </row>
    <row r="44" spans="1:14" x14ac:dyDescent="0.3">
      <c r="A44" s="1">
        <v>46079</v>
      </c>
      <c r="B44" t="s">
        <v>128</v>
      </c>
      <c r="C44" t="s">
        <v>123</v>
      </c>
      <c r="D44" s="3">
        <v>0</v>
      </c>
      <c r="E44" s="3">
        <v>-171141</v>
      </c>
      <c r="F44" s="23">
        <v>-169585</v>
      </c>
      <c r="G44" s="12">
        <v>140035.6</v>
      </c>
    </row>
    <row r="45" spans="1:14" s="6" customFormat="1" x14ac:dyDescent="0.3">
      <c r="A45" s="4">
        <v>46079</v>
      </c>
      <c r="B45" s="6" t="s">
        <v>129</v>
      </c>
      <c r="C45" s="6" t="s">
        <v>124</v>
      </c>
      <c r="D45" s="7">
        <v>0</v>
      </c>
      <c r="E45" s="7">
        <v>-307545</v>
      </c>
      <c r="F45" s="10">
        <v>-425739</v>
      </c>
      <c r="G45" s="13">
        <v>3194583.39</v>
      </c>
    </row>
    <row r="46" spans="1:14" x14ac:dyDescent="0.3">
      <c r="A46" s="1">
        <v>46080</v>
      </c>
      <c r="B46" t="s">
        <v>55</v>
      </c>
      <c r="C46" t="s">
        <v>125</v>
      </c>
      <c r="D46" s="3">
        <v>-23258.83</v>
      </c>
      <c r="E46" s="3">
        <v>-8500</v>
      </c>
      <c r="F46" s="23">
        <v>-8238</v>
      </c>
    </row>
    <row r="47" spans="1:14" x14ac:dyDescent="0.3">
      <c r="A47" s="1">
        <v>46080</v>
      </c>
      <c r="B47" t="s">
        <v>56</v>
      </c>
      <c r="C47" t="s">
        <v>126</v>
      </c>
      <c r="D47" s="3">
        <v>-216190.79</v>
      </c>
      <c r="E47" s="3">
        <v>-47224</v>
      </c>
      <c r="F47" s="23">
        <v>-46302</v>
      </c>
    </row>
    <row r="48" spans="1:14" x14ac:dyDescent="0.3">
      <c r="A48" s="1">
        <v>46080</v>
      </c>
      <c r="B48" t="s">
        <v>57</v>
      </c>
      <c r="C48" t="s">
        <v>127</v>
      </c>
      <c r="D48" s="3">
        <v>-209043.32</v>
      </c>
      <c r="E48" s="3">
        <v>-34461</v>
      </c>
      <c r="F48" s="23">
        <v>-34411</v>
      </c>
    </row>
    <row r="49" spans="1:7" x14ac:dyDescent="0.3">
      <c r="A49" s="1">
        <v>46080</v>
      </c>
      <c r="B49" t="s">
        <v>58</v>
      </c>
      <c r="C49" t="s">
        <v>130</v>
      </c>
      <c r="D49" s="3">
        <v>0</v>
      </c>
      <c r="E49" s="3">
        <v>-8474</v>
      </c>
      <c r="F49" s="23">
        <v>-8214</v>
      </c>
      <c r="G49" s="12">
        <v>1763.51</v>
      </c>
    </row>
    <row r="50" spans="1:7" x14ac:dyDescent="0.3">
      <c r="A50" s="1">
        <v>46080</v>
      </c>
      <c r="B50" t="s">
        <v>59</v>
      </c>
      <c r="C50" t="s">
        <v>131</v>
      </c>
      <c r="D50" s="3">
        <v>0</v>
      </c>
      <c r="E50" s="3">
        <v>-84296</v>
      </c>
      <c r="F50" s="23">
        <v>-82760</v>
      </c>
      <c r="G50" s="12">
        <v>53932.36</v>
      </c>
    </row>
    <row r="51" spans="1:7" x14ac:dyDescent="0.3">
      <c r="A51" s="1">
        <v>46080</v>
      </c>
      <c r="B51" t="s">
        <v>60</v>
      </c>
      <c r="C51" t="s">
        <v>132</v>
      </c>
      <c r="D51" s="3">
        <v>0</v>
      </c>
      <c r="E51" s="3">
        <v>-98184</v>
      </c>
      <c r="F51" s="23">
        <v>-98225</v>
      </c>
      <c r="G51" s="12">
        <v>109253.17</v>
      </c>
    </row>
    <row r="52" spans="1:7" x14ac:dyDescent="0.3">
      <c r="A52" s="1">
        <v>46080</v>
      </c>
      <c r="B52" t="s">
        <v>61</v>
      </c>
      <c r="C52" t="s">
        <v>133</v>
      </c>
      <c r="D52" s="3">
        <v>0</v>
      </c>
      <c r="E52" s="3">
        <v>-71666</v>
      </c>
      <c r="F52" s="23">
        <v>-73821</v>
      </c>
      <c r="G52" s="12">
        <v>8647.25</v>
      </c>
    </row>
    <row r="53" spans="1:7" x14ac:dyDescent="0.3">
      <c r="A53" s="1">
        <v>46080</v>
      </c>
      <c r="B53" t="s">
        <v>62</v>
      </c>
      <c r="C53" t="s">
        <v>134</v>
      </c>
      <c r="D53" s="3">
        <v>0</v>
      </c>
      <c r="E53" s="3">
        <v>-100403</v>
      </c>
      <c r="F53" s="23">
        <v>-101825</v>
      </c>
      <c r="G53" s="12">
        <v>58115.31</v>
      </c>
    </row>
    <row r="54" spans="1:7" x14ac:dyDescent="0.3">
      <c r="A54" s="1">
        <v>46080</v>
      </c>
      <c r="B54" t="s">
        <v>63</v>
      </c>
      <c r="C54" t="s">
        <v>135</v>
      </c>
      <c r="D54" s="3">
        <v>0</v>
      </c>
      <c r="E54" s="3">
        <v>-219068</v>
      </c>
      <c r="F54" s="23">
        <v>-213489</v>
      </c>
      <c r="G54" s="12">
        <v>273661.65999999997</v>
      </c>
    </row>
    <row r="55" spans="1:7" x14ac:dyDescent="0.3">
      <c r="A55" s="1">
        <v>46080</v>
      </c>
      <c r="B55" t="s">
        <v>64</v>
      </c>
      <c r="C55" t="s">
        <v>136</v>
      </c>
      <c r="D55" s="3">
        <v>-47605.97</v>
      </c>
      <c r="E55" s="3">
        <v>-28603</v>
      </c>
      <c r="F55" s="23">
        <v>-29539</v>
      </c>
    </row>
    <row r="56" spans="1:7" x14ac:dyDescent="0.3">
      <c r="A56" s="1">
        <v>46080</v>
      </c>
      <c r="B56" t="s">
        <v>65</v>
      </c>
      <c r="C56" t="s">
        <v>137</v>
      </c>
      <c r="D56" s="3">
        <v>-201617.72</v>
      </c>
      <c r="E56" s="3">
        <v>-98562</v>
      </c>
      <c r="F56" s="23">
        <v>-100638</v>
      </c>
    </row>
    <row r="57" spans="1:7" x14ac:dyDescent="0.3">
      <c r="A57" s="1">
        <v>46080</v>
      </c>
      <c r="B57" t="s">
        <v>66</v>
      </c>
      <c r="C57" t="s">
        <v>138</v>
      </c>
      <c r="D57" s="3">
        <v>-163267.54</v>
      </c>
      <c r="E57" s="3">
        <v>-75896</v>
      </c>
      <c r="F57" s="23">
        <v>-74554</v>
      </c>
    </row>
    <row r="58" spans="1:7" x14ac:dyDescent="0.3">
      <c r="A58" s="1">
        <v>46080</v>
      </c>
      <c r="B58" t="s">
        <v>178</v>
      </c>
      <c r="C58" t="s">
        <v>139</v>
      </c>
      <c r="D58" s="3">
        <v>-130563.37</v>
      </c>
      <c r="E58" s="3">
        <v>-243304</v>
      </c>
      <c r="F58" s="23">
        <v>-252137</v>
      </c>
    </row>
    <row r="59" spans="1:7" x14ac:dyDescent="0.3">
      <c r="A59" s="1">
        <v>46080</v>
      </c>
      <c r="B59" t="s">
        <v>141</v>
      </c>
      <c r="C59" t="s">
        <v>143</v>
      </c>
      <c r="D59" s="3">
        <v>0</v>
      </c>
      <c r="E59" s="3">
        <v>-190310</v>
      </c>
      <c r="F59" s="23">
        <v>-189341</v>
      </c>
      <c r="G59" s="12">
        <v>104140.96</v>
      </c>
    </row>
    <row r="60" spans="1:7" x14ac:dyDescent="0.3">
      <c r="A60" s="1">
        <v>46080</v>
      </c>
      <c r="B60" t="s">
        <v>106</v>
      </c>
      <c r="C60" t="s">
        <v>144</v>
      </c>
      <c r="D60" s="3">
        <v>0</v>
      </c>
      <c r="E60" s="3">
        <v>-474588</v>
      </c>
      <c r="F60" s="23">
        <v>-514006</v>
      </c>
      <c r="G60" s="12">
        <v>220749.11</v>
      </c>
    </row>
    <row r="61" spans="1:7" x14ac:dyDescent="0.3">
      <c r="A61" s="1">
        <v>46080</v>
      </c>
      <c r="B61" t="s">
        <v>177</v>
      </c>
      <c r="C61" t="s">
        <v>145</v>
      </c>
      <c r="D61" s="3">
        <v>-2675483.46</v>
      </c>
      <c r="E61" s="3">
        <v>-1837033</v>
      </c>
      <c r="F61" s="23">
        <v>-1827322</v>
      </c>
    </row>
    <row r="62" spans="1:7" x14ac:dyDescent="0.3">
      <c r="A62" s="1">
        <v>46080</v>
      </c>
      <c r="B62" t="s">
        <v>142</v>
      </c>
      <c r="C62" t="s">
        <v>146</v>
      </c>
      <c r="D62" s="3">
        <v>-376341.2</v>
      </c>
      <c r="E62" s="3">
        <v>-19283</v>
      </c>
      <c r="F62" s="11">
        <v>-20360</v>
      </c>
    </row>
    <row r="63" spans="1:7" x14ac:dyDescent="0.3">
      <c r="A63" s="1">
        <v>46080</v>
      </c>
      <c r="B63" t="s">
        <v>181</v>
      </c>
      <c r="C63" t="s">
        <v>147</v>
      </c>
      <c r="D63" s="3">
        <v>-2036108.16</v>
      </c>
      <c r="E63" s="3">
        <v>-822876</v>
      </c>
      <c r="F63" s="23">
        <v>-810166</v>
      </c>
    </row>
    <row r="64" spans="1:7" x14ac:dyDescent="0.3">
      <c r="A64" s="1">
        <v>46080</v>
      </c>
      <c r="B64" t="s">
        <v>116</v>
      </c>
      <c r="C64" t="s">
        <v>148</v>
      </c>
      <c r="D64" s="3">
        <v>0</v>
      </c>
      <c r="E64" s="3">
        <v>-1765152</v>
      </c>
      <c r="F64" s="23">
        <v>-1700914</v>
      </c>
      <c r="G64" s="12">
        <v>6621494.7599999998</v>
      </c>
    </row>
    <row r="65" spans="1:7" x14ac:dyDescent="0.3">
      <c r="A65" s="1">
        <v>46080</v>
      </c>
      <c r="B65" t="s">
        <v>118</v>
      </c>
      <c r="C65" t="s">
        <v>150</v>
      </c>
      <c r="D65" s="3">
        <v>0</v>
      </c>
      <c r="E65" s="3">
        <v>-1951679</v>
      </c>
      <c r="F65" s="23">
        <v>-1959404</v>
      </c>
      <c r="G65" s="12">
        <v>14085710.539999999</v>
      </c>
    </row>
    <row r="66" spans="1:7" x14ac:dyDescent="0.3">
      <c r="A66" s="1">
        <v>46080</v>
      </c>
      <c r="B66" t="s">
        <v>149</v>
      </c>
      <c r="C66" t="s">
        <v>151</v>
      </c>
      <c r="D66" s="3">
        <v>0</v>
      </c>
      <c r="E66" s="3">
        <v>-877695</v>
      </c>
      <c r="F66" s="23">
        <v>-1028917</v>
      </c>
      <c r="G66" s="12">
        <v>5026962.9000000004</v>
      </c>
    </row>
    <row r="67" spans="1:7" x14ac:dyDescent="0.3">
      <c r="A67" s="1">
        <v>46080</v>
      </c>
      <c r="B67" t="s">
        <v>117</v>
      </c>
      <c r="C67" t="s">
        <v>152</v>
      </c>
      <c r="D67" s="3">
        <v>0</v>
      </c>
      <c r="E67" s="3">
        <v>-2760622</v>
      </c>
      <c r="F67" s="23">
        <v>-2566077</v>
      </c>
      <c r="G67" s="12">
        <v>26049673.620000001</v>
      </c>
    </row>
  </sheetData>
  <phoneticPr fontId="2" type="noConversion"/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C784-35B6-48D4-A487-450140C5ECED}">
  <dimension ref="A1:F15"/>
  <sheetViews>
    <sheetView zoomScale="90" zoomScaleNormal="90" workbookViewId="0">
      <selection activeCell="K32" sqref="K32"/>
    </sheetView>
  </sheetViews>
  <sheetFormatPr defaultRowHeight="14.25" x14ac:dyDescent="0.3"/>
  <cols>
    <col min="1" max="1" width="14.25" customWidth="1"/>
    <col min="2" max="2" width="25.25" customWidth="1"/>
    <col min="3" max="3" width="19.25" customWidth="1"/>
    <col min="4" max="4" width="21.75" style="3" customWidth="1"/>
    <col min="5" max="5" width="18.625" style="3" customWidth="1"/>
    <col min="6" max="6" width="25.25" style="3" customWidth="1"/>
  </cols>
  <sheetData>
    <row r="1" spans="1:6" x14ac:dyDescent="0.3">
      <c r="A1" t="s">
        <v>0</v>
      </c>
      <c r="B1" t="s">
        <v>19</v>
      </c>
      <c r="D1" s="3" t="s">
        <v>16</v>
      </c>
      <c r="E1" s="3" t="s">
        <v>17</v>
      </c>
      <c r="F1" s="3" t="s">
        <v>18</v>
      </c>
    </row>
    <row r="2" spans="1:6" x14ac:dyDescent="0.3">
      <c r="A2" s="1">
        <v>46078</v>
      </c>
      <c r="B2" s="2" t="s">
        <v>30</v>
      </c>
      <c r="C2" t="s">
        <v>1</v>
      </c>
      <c r="D2" s="3">
        <v>-32333.279999999999</v>
      </c>
      <c r="E2" s="3">
        <v>-31176</v>
      </c>
      <c r="F2" s="3">
        <v>-30642</v>
      </c>
    </row>
    <row r="3" spans="1:6" x14ac:dyDescent="0.3">
      <c r="A3" s="1">
        <v>46078</v>
      </c>
      <c r="B3" s="2" t="s">
        <v>31</v>
      </c>
      <c r="C3" t="s">
        <v>2</v>
      </c>
      <c r="D3" s="3">
        <v>-3706001.01</v>
      </c>
      <c r="E3" s="3">
        <v>-4221215</v>
      </c>
      <c r="F3" s="3">
        <v>-3988394</v>
      </c>
    </row>
    <row r="4" spans="1:6" x14ac:dyDescent="0.3">
      <c r="A4" s="1">
        <v>46078</v>
      </c>
      <c r="B4" s="2" t="s">
        <v>32</v>
      </c>
      <c r="C4" t="s">
        <v>3</v>
      </c>
      <c r="D4" s="3">
        <v>-3691623.04</v>
      </c>
      <c r="E4" s="3">
        <v>-4299612</v>
      </c>
      <c r="F4" s="3">
        <v>-4063503</v>
      </c>
    </row>
    <row r="5" spans="1:6" x14ac:dyDescent="0.3">
      <c r="A5" s="1">
        <v>46078</v>
      </c>
      <c r="B5" s="2" t="s">
        <v>31</v>
      </c>
      <c r="C5" t="s">
        <v>4</v>
      </c>
      <c r="D5" s="3">
        <v>-3706001.01</v>
      </c>
      <c r="E5" s="3">
        <v>-4221215</v>
      </c>
      <c r="F5" s="3">
        <v>-3988394</v>
      </c>
    </row>
    <row r="6" spans="1:6" x14ac:dyDescent="0.3">
      <c r="A6" s="4">
        <v>46078</v>
      </c>
      <c r="B6" s="5" t="s">
        <v>22</v>
      </c>
      <c r="C6" s="6" t="s">
        <v>5</v>
      </c>
      <c r="D6" s="7">
        <v>-37291.64</v>
      </c>
      <c r="E6" s="7">
        <v>-44246</v>
      </c>
      <c r="F6" s="7">
        <v>-42048</v>
      </c>
    </row>
    <row r="7" spans="1:6" x14ac:dyDescent="0.3">
      <c r="A7" s="1">
        <v>46079</v>
      </c>
      <c r="B7" s="2" t="s">
        <v>33</v>
      </c>
      <c r="C7" t="s">
        <v>6</v>
      </c>
      <c r="D7" s="3">
        <v>-7021491.0999999996</v>
      </c>
      <c r="E7" s="3">
        <v>-6048049</v>
      </c>
      <c r="F7" s="3">
        <v>-5936701</v>
      </c>
    </row>
    <row r="8" spans="1:6" x14ac:dyDescent="0.3">
      <c r="A8" s="1">
        <v>46079</v>
      </c>
      <c r="B8" s="2" t="s">
        <v>24</v>
      </c>
      <c r="C8" t="s">
        <v>7</v>
      </c>
      <c r="D8" s="3">
        <v>-86359.63</v>
      </c>
      <c r="E8" s="3">
        <v>-62953</v>
      </c>
      <c r="F8" s="3">
        <v>-61924</v>
      </c>
    </row>
    <row r="9" spans="1:6" x14ac:dyDescent="0.3">
      <c r="A9" s="1">
        <v>46079</v>
      </c>
      <c r="B9" s="2" t="s">
        <v>20</v>
      </c>
      <c r="C9" t="s">
        <v>8</v>
      </c>
      <c r="D9" s="3">
        <v>-7006450.5999999996</v>
      </c>
      <c r="E9" s="3">
        <v>-6018241</v>
      </c>
      <c r="F9" s="3">
        <v>-5907401</v>
      </c>
    </row>
    <row r="10" spans="1:6" x14ac:dyDescent="0.3">
      <c r="A10" s="1">
        <v>46079</v>
      </c>
      <c r="B10" s="2" t="s">
        <v>23</v>
      </c>
      <c r="C10" t="s">
        <v>9</v>
      </c>
      <c r="D10" s="3">
        <v>-3513718.48</v>
      </c>
      <c r="E10" s="3">
        <v>-2950815</v>
      </c>
      <c r="F10" s="3">
        <v>-2896429</v>
      </c>
    </row>
    <row r="11" spans="1:6" x14ac:dyDescent="0.3">
      <c r="A11" s="4">
        <v>46079</v>
      </c>
      <c r="B11" s="5" t="s">
        <v>34</v>
      </c>
      <c r="C11" s="6" t="s">
        <v>10</v>
      </c>
      <c r="D11" s="7">
        <v>-7417625.0300000003</v>
      </c>
      <c r="E11" s="7">
        <v>-8999188</v>
      </c>
      <c r="F11" s="7">
        <v>-8516077</v>
      </c>
    </row>
    <row r="12" spans="1:6" x14ac:dyDescent="0.3">
      <c r="A12" s="1">
        <v>46080</v>
      </c>
      <c r="B12" s="2" t="s">
        <v>22</v>
      </c>
      <c r="C12" t="s">
        <v>11</v>
      </c>
      <c r="D12" s="3">
        <v>-37216.74</v>
      </c>
      <c r="E12" s="3">
        <v>-45336</v>
      </c>
      <c r="F12" s="3">
        <v>-43365</v>
      </c>
    </row>
    <row r="13" spans="1:6" x14ac:dyDescent="0.3">
      <c r="A13" s="1">
        <v>46080</v>
      </c>
      <c r="B13" s="2" t="s">
        <v>29</v>
      </c>
      <c r="C13" t="s">
        <v>12</v>
      </c>
      <c r="D13" s="3">
        <v>-63959.519999999997</v>
      </c>
      <c r="E13" s="3">
        <v>-47699</v>
      </c>
      <c r="F13" s="3">
        <v>-45632</v>
      </c>
    </row>
    <row r="14" spans="1:6" x14ac:dyDescent="0.3">
      <c r="A14" s="1">
        <v>46080</v>
      </c>
      <c r="B14" s="2" t="s">
        <v>31</v>
      </c>
      <c r="C14" t="s">
        <v>13</v>
      </c>
      <c r="D14" s="3">
        <v>-3711067.43</v>
      </c>
      <c r="E14" s="3">
        <v>-4396236</v>
      </c>
      <c r="F14" s="3">
        <v>-4182841</v>
      </c>
    </row>
    <row r="15" spans="1:6" x14ac:dyDescent="0.3">
      <c r="A15" s="4">
        <v>46080</v>
      </c>
      <c r="B15" s="5" t="s">
        <v>33</v>
      </c>
      <c r="C15" t="s">
        <v>14</v>
      </c>
      <c r="D15" s="7">
        <v>-7018926.5099999998</v>
      </c>
      <c r="E15" s="7">
        <v>-6026876</v>
      </c>
      <c r="F15" s="7">
        <v>-5949807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BCB0-8AEE-4AEA-ABC3-752AD4D7AD76}">
  <dimension ref="A1:M10"/>
  <sheetViews>
    <sheetView zoomScale="90" zoomScaleNormal="90" workbookViewId="0">
      <selection activeCell="B2" sqref="B2"/>
    </sheetView>
  </sheetViews>
  <sheetFormatPr defaultRowHeight="14.25" x14ac:dyDescent="0.3"/>
  <cols>
    <col min="1" max="1" width="15.25" customWidth="1"/>
    <col min="2" max="2" width="6.75" bestFit="1" customWidth="1"/>
    <col min="3" max="3" width="9.75" bestFit="1" customWidth="1"/>
    <col min="4" max="4" width="14" bestFit="1" customWidth="1"/>
    <col min="5" max="5" width="17.125" customWidth="1"/>
    <col min="6" max="6" width="23.75" customWidth="1"/>
    <col min="7" max="7" width="24.75" bestFit="1" customWidth="1"/>
    <col min="10" max="10" width="12.25" bestFit="1" customWidth="1"/>
    <col min="11" max="11" width="20.25" bestFit="1" customWidth="1"/>
    <col min="12" max="12" width="19.875" bestFit="1" customWidth="1"/>
    <col min="13" max="13" width="34.5" bestFit="1" customWidth="1"/>
  </cols>
  <sheetData>
    <row r="1" spans="1:13" x14ac:dyDescent="0.3">
      <c r="A1" t="s">
        <v>0</v>
      </c>
      <c r="B1" t="s">
        <v>35</v>
      </c>
      <c r="C1" t="s">
        <v>171</v>
      </c>
      <c r="D1" s="3" t="s">
        <v>16</v>
      </c>
      <c r="E1" s="3" t="s">
        <v>17</v>
      </c>
      <c r="F1" s="23" t="s">
        <v>18</v>
      </c>
      <c r="G1" s="3"/>
      <c r="J1" s="18" t="s">
        <v>172</v>
      </c>
      <c r="K1" t="s">
        <v>174</v>
      </c>
      <c r="L1" t="s">
        <v>175</v>
      </c>
      <c r="M1" t="s">
        <v>176</v>
      </c>
    </row>
    <row r="2" spans="1:13" x14ac:dyDescent="0.3">
      <c r="A2" s="1">
        <v>46078</v>
      </c>
      <c r="B2" s="2" t="s">
        <v>42</v>
      </c>
      <c r="C2" t="s">
        <v>1</v>
      </c>
      <c r="D2" s="3">
        <v>-8765860.3599999994</v>
      </c>
      <c r="E2" s="3">
        <v>-624921</v>
      </c>
      <c r="F2" s="23">
        <v>-885730</v>
      </c>
      <c r="J2" s="19" t="s">
        <v>42</v>
      </c>
      <c r="K2" s="20">
        <v>-6550681.3399999999</v>
      </c>
      <c r="L2" s="21">
        <v>-1727852</v>
      </c>
      <c r="M2" s="21">
        <v>-1673923.3333333333</v>
      </c>
    </row>
    <row r="3" spans="1:13" x14ac:dyDescent="0.3">
      <c r="A3" s="1">
        <v>46078</v>
      </c>
      <c r="B3" s="2" t="s">
        <v>41</v>
      </c>
      <c r="C3" t="s">
        <v>2</v>
      </c>
      <c r="D3" s="3">
        <v>-3726545.42</v>
      </c>
      <c r="E3" s="32">
        <v>-4295033</v>
      </c>
      <c r="F3" s="24">
        <v>-4135135</v>
      </c>
      <c r="G3" t="s">
        <v>180</v>
      </c>
      <c r="J3" s="19" t="s">
        <v>41</v>
      </c>
      <c r="K3" s="20">
        <v>-10450543.119999999</v>
      </c>
      <c r="L3" s="21">
        <v>-983637.33333333337</v>
      </c>
      <c r="M3" s="21">
        <v>-2192702</v>
      </c>
    </row>
    <row r="4" spans="1:13" s="6" customFormat="1" x14ac:dyDescent="0.3">
      <c r="A4" s="4">
        <v>46078</v>
      </c>
      <c r="B4" s="5" t="s">
        <v>43</v>
      </c>
      <c r="C4" s="6" t="s">
        <v>3</v>
      </c>
      <c r="D4" s="7">
        <v>-4226421.03</v>
      </c>
      <c r="E4" s="33">
        <v>-4007929</v>
      </c>
      <c r="F4" s="25">
        <v>-4157173</v>
      </c>
      <c r="G4" s="6" t="s">
        <v>180</v>
      </c>
      <c r="J4" s="19" t="s">
        <v>43</v>
      </c>
      <c r="K4" s="20">
        <v>-6479167.6833333336</v>
      </c>
      <c r="L4" s="21">
        <v>-2446648</v>
      </c>
      <c r="M4" s="21">
        <v>-3125321.3333333335</v>
      </c>
    </row>
    <row r="5" spans="1:13" x14ac:dyDescent="0.3">
      <c r="A5" s="1">
        <v>46079</v>
      </c>
      <c r="B5" s="2" t="s">
        <v>42</v>
      </c>
      <c r="C5" t="s">
        <v>4</v>
      </c>
      <c r="D5" s="8">
        <v>-7155855.1399999997</v>
      </c>
      <c r="E5" s="16">
        <v>-848278</v>
      </c>
      <c r="F5" s="9">
        <v>-1302973</v>
      </c>
    </row>
    <row r="6" spans="1:13" x14ac:dyDescent="0.3">
      <c r="A6" s="1">
        <v>46079</v>
      </c>
      <c r="B6" s="2" t="s">
        <v>41</v>
      </c>
      <c r="C6" t="s">
        <v>5</v>
      </c>
      <c r="D6" s="3">
        <v>-21733963.199999999</v>
      </c>
      <c r="E6" s="14">
        <v>-350587</v>
      </c>
      <c r="F6" s="23">
        <v>-283267</v>
      </c>
    </row>
    <row r="7" spans="1:13" s="6" customFormat="1" x14ac:dyDescent="0.3">
      <c r="A7" s="4">
        <v>46079</v>
      </c>
      <c r="B7" s="5" t="s">
        <v>43</v>
      </c>
      <c r="C7" s="6" t="s">
        <v>6</v>
      </c>
      <c r="D7" s="7">
        <v>-11123980.24</v>
      </c>
      <c r="E7" s="15">
        <v>-1545897</v>
      </c>
      <c r="F7" s="10">
        <v>-1714146</v>
      </c>
    </row>
    <row r="8" spans="1:13" x14ac:dyDescent="0.3">
      <c r="A8" s="1">
        <v>46445</v>
      </c>
      <c r="B8" t="s">
        <v>42</v>
      </c>
      <c r="C8" t="s">
        <v>7</v>
      </c>
      <c r="D8" s="9">
        <v>-3730328.52</v>
      </c>
      <c r="E8" s="11">
        <v>-3577960</v>
      </c>
      <c r="F8" s="11">
        <v>-3821778</v>
      </c>
    </row>
    <row r="9" spans="1:13" x14ac:dyDescent="0.3">
      <c r="A9" s="1">
        <v>46445</v>
      </c>
      <c r="B9" t="s">
        <v>41</v>
      </c>
      <c r="C9" t="s">
        <v>8</v>
      </c>
      <c r="D9" s="9">
        <v>-5891120.7400000002</v>
      </c>
      <c r="E9" s="11">
        <v>-2262759</v>
      </c>
      <c r="F9" s="11">
        <v>-2763354</v>
      </c>
    </row>
    <row r="10" spans="1:13" x14ac:dyDescent="0.3">
      <c r="A10" s="1">
        <v>46445</v>
      </c>
      <c r="B10" t="s">
        <v>43</v>
      </c>
      <c r="C10" t="s">
        <v>9</v>
      </c>
      <c r="D10" s="9">
        <v>-4087101.78</v>
      </c>
      <c r="E10" s="11">
        <v>-4327647</v>
      </c>
      <c r="F10" s="11">
        <v>-4434064</v>
      </c>
    </row>
  </sheetData>
  <autoFilter ref="A1:G10" xr:uid="{E4C0BCB0-8AEE-4AEA-ABC3-752AD4D7AD76}"/>
  <phoneticPr fontId="2" type="noConversion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4742-EE1C-491C-BEA8-976F45E9A79C}">
  <dimension ref="A1:M63"/>
  <sheetViews>
    <sheetView tabSelected="1" zoomScale="90" zoomScaleNormal="90" workbookViewId="0">
      <selection activeCell="F1" sqref="F1"/>
    </sheetView>
  </sheetViews>
  <sheetFormatPr defaultRowHeight="14.25" x14ac:dyDescent="0.3"/>
  <cols>
    <col min="1" max="1" width="13.75" customWidth="1"/>
    <col min="2" max="2" width="22.375" bestFit="1" customWidth="1"/>
    <col min="3" max="3" width="9.75" bestFit="1" customWidth="1"/>
    <col min="4" max="4" width="13.75" style="3" customWidth="1"/>
    <col min="5" max="5" width="17.125" style="3" customWidth="1"/>
    <col min="6" max="6" width="23.75" style="23" customWidth="1"/>
    <col min="7" max="7" width="13.75" style="3" bestFit="1" customWidth="1"/>
    <col min="8" max="8" width="24.75" bestFit="1" customWidth="1"/>
    <col min="10" max="10" width="20.25" style="27" bestFit="1" customWidth="1"/>
    <col min="11" max="11" width="18.25" style="27" bestFit="1" customWidth="1"/>
    <col min="12" max="12" width="17.875" style="27" bestFit="1" customWidth="1"/>
    <col min="13" max="13" width="31" style="27" bestFit="1" customWidth="1"/>
  </cols>
  <sheetData>
    <row r="1" spans="1:13" x14ac:dyDescent="0.3">
      <c r="A1" t="s">
        <v>0</v>
      </c>
      <c r="B1" t="s">
        <v>35</v>
      </c>
      <c r="C1" t="s">
        <v>171</v>
      </c>
      <c r="D1" s="3" t="s">
        <v>16</v>
      </c>
      <c r="E1" s="3" t="s">
        <v>17</v>
      </c>
      <c r="F1" s="23" t="s">
        <v>18</v>
      </c>
      <c r="G1" s="3" t="s">
        <v>74</v>
      </c>
      <c r="H1" s="23"/>
      <c r="J1" s="26" t="s">
        <v>172</v>
      </c>
      <c r="K1" s="27" t="s">
        <v>174</v>
      </c>
      <c r="L1" s="27" t="s">
        <v>175</v>
      </c>
      <c r="M1" s="27" t="s">
        <v>176</v>
      </c>
    </row>
    <row r="2" spans="1:13" x14ac:dyDescent="0.3">
      <c r="A2" s="1">
        <v>46078</v>
      </c>
      <c r="B2" t="s">
        <v>55</v>
      </c>
      <c r="C2" t="s">
        <v>50</v>
      </c>
      <c r="D2" s="3">
        <v>-191343.64</v>
      </c>
      <c r="E2" s="3">
        <v>-42932</v>
      </c>
      <c r="F2" s="23">
        <v>-42535</v>
      </c>
      <c r="J2" s="28" t="s">
        <v>55</v>
      </c>
      <c r="K2" s="29">
        <v>-341196.36000000004</v>
      </c>
      <c r="L2" s="29">
        <v>-107890.33333333333</v>
      </c>
      <c r="M2" s="29">
        <v>-106704</v>
      </c>
    </row>
    <row r="3" spans="1:13" x14ac:dyDescent="0.3">
      <c r="A3" s="1">
        <v>46078</v>
      </c>
      <c r="B3" t="s">
        <v>56</v>
      </c>
      <c r="C3" t="s">
        <v>51</v>
      </c>
      <c r="D3" s="3">
        <v>-2716248.45</v>
      </c>
      <c r="E3" s="3">
        <v>-352662</v>
      </c>
      <c r="F3" s="23">
        <v>-349444</v>
      </c>
      <c r="J3" s="28" t="s">
        <v>56</v>
      </c>
      <c r="K3" s="29">
        <v>-1500421.4800000002</v>
      </c>
      <c r="L3" s="29">
        <v>-204949.33333333334</v>
      </c>
      <c r="M3" s="29">
        <v>-206587.33333333334</v>
      </c>
    </row>
    <row r="4" spans="1:13" x14ac:dyDescent="0.3">
      <c r="A4" s="1">
        <v>46078</v>
      </c>
      <c r="B4" t="s">
        <v>57</v>
      </c>
      <c r="C4" t="s">
        <v>52</v>
      </c>
      <c r="D4" s="3">
        <v>-2755458.55</v>
      </c>
      <c r="E4" s="3">
        <v>-246489</v>
      </c>
      <c r="F4" s="23">
        <v>-216849</v>
      </c>
      <c r="J4" s="28" t="s">
        <v>57</v>
      </c>
      <c r="K4" s="29">
        <v>-2762409.2533333334</v>
      </c>
      <c r="L4" s="29">
        <v>-246455.33333333334</v>
      </c>
      <c r="M4" s="29">
        <v>-220540</v>
      </c>
    </row>
    <row r="5" spans="1:13" x14ac:dyDescent="0.3">
      <c r="A5" s="1">
        <v>46078</v>
      </c>
      <c r="B5" t="s">
        <v>58</v>
      </c>
      <c r="C5" t="s">
        <v>53</v>
      </c>
      <c r="D5" s="3">
        <v>0</v>
      </c>
      <c r="E5" s="3">
        <v>-20182</v>
      </c>
      <c r="F5" s="23">
        <v>-20162</v>
      </c>
      <c r="G5" s="3">
        <v>3805.84</v>
      </c>
      <c r="J5" s="28" t="s">
        <v>58</v>
      </c>
      <c r="K5" s="29">
        <v>0</v>
      </c>
      <c r="L5" s="29">
        <v>-38307.333333333336</v>
      </c>
      <c r="M5" s="29">
        <v>-37926</v>
      </c>
    </row>
    <row r="6" spans="1:13" x14ac:dyDescent="0.3">
      <c r="A6" s="1">
        <v>46078</v>
      </c>
      <c r="B6" t="s">
        <v>59</v>
      </c>
      <c r="C6" t="s">
        <v>54</v>
      </c>
      <c r="D6" s="3">
        <v>0</v>
      </c>
      <c r="E6" s="3">
        <v>-128563</v>
      </c>
      <c r="F6" s="23">
        <v>-129073</v>
      </c>
      <c r="G6" s="3">
        <v>107700.92</v>
      </c>
      <c r="J6" s="28" t="s">
        <v>59</v>
      </c>
      <c r="K6" s="29">
        <v>0</v>
      </c>
      <c r="L6" s="29">
        <v>-292555</v>
      </c>
      <c r="M6" s="29">
        <v>-288294.66666666669</v>
      </c>
    </row>
    <row r="7" spans="1:13" x14ac:dyDescent="0.3">
      <c r="A7" s="1">
        <v>46078</v>
      </c>
      <c r="B7" t="s">
        <v>60</v>
      </c>
      <c r="C7" t="s">
        <v>67</v>
      </c>
      <c r="D7" s="3">
        <v>0</v>
      </c>
      <c r="E7" s="3">
        <v>-69598</v>
      </c>
      <c r="F7" s="23">
        <v>-61443</v>
      </c>
      <c r="G7" s="3">
        <v>67390.070000000007</v>
      </c>
      <c r="J7" s="28" t="s">
        <v>60</v>
      </c>
      <c r="K7" s="29">
        <v>0</v>
      </c>
      <c r="L7" s="29">
        <v>-84512</v>
      </c>
      <c r="M7" s="29">
        <v>-159723</v>
      </c>
    </row>
    <row r="8" spans="1:13" x14ac:dyDescent="0.3">
      <c r="A8" s="1">
        <v>46078</v>
      </c>
      <c r="B8" t="s">
        <v>61</v>
      </c>
      <c r="C8" t="s">
        <v>68</v>
      </c>
      <c r="D8" s="3">
        <v>0</v>
      </c>
      <c r="E8" s="3">
        <v>-190536</v>
      </c>
      <c r="F8" s="23">
        <v>-189079</v>
      </c>
      <c r="G8" s="3">
        <v>56493.63</v>
      </c>
      <c r="J8" s="28" t="s">
        <v>61</v>
      </c>
      <c r="K8" s="29">
        <v>-96459.45</v>
      </c>
      <c r="L8" s="29">
        <v>-276124.33333333331</v>
      </c>
      <c r="M8" s="29">
        <v>-140298.66666666666</v>
      </c>
    </row>
    <row r="9" spans="1:13" x14ac:dyDescent="0.3">
      <c r="A9" s="1">
        <v>46078</v>
      </c>
      <c r="B9" t="s">
        <v>62</v>
      </c>
      <c r="C9" t="s">
        <v>69</v>
      </c>
      <c r="D9" s="3">
        <v>0</v>
      </c>
      <c r="E9" s="3">
        <v>-688662</v>
      </c>
      <c r="F9" s="23">
        <v>-638197</v>
      </c>
      <c r="G9" s="3">
        <v>631146.37</v>
      </c>
      <c r="J9" s="28" t="s">
        <v>62</v>
      </c>
      <c r="K9" s="29">
        <v>-300355.24333333335</v>
      </c>
      <c r="L9" s="29">
        <v>-709255.66666666663</v>
      </c>
      <c r="M9" s="29">
        <v>-624799.33333333337</v>
      </c>
    </row>
    <row r="10" spans="1:13" x14ac:dyDescent="0.3">
      <c r="A10" s="1">
        <v>46078</v>
      </c>
      <c r="B10" t="s">
        <v>63</v>
      </c>
      <c r="C10" t="s">
        <v>70</v>
      </c>
      <c r="D10" s="3">
        <v>0</v>
      </c>
      <c r="E10" s="3">
        <v>-459958</v>
      </c>
      <c r="F10" s="23">
        <v>-449361</v>
      </c>
      <c r="G10" s="3">
        <v>200582.31</v>
      </c>
      <c r="J10" s="28" t="s">
        <v>63</v>
      </c>
      <c r="K10" s="29">
        <v>-625286.19666666666</v>
      </c>
      <c r="L10" s="29">
        <v>-476606.66666666669</v>
      </c>
      <c r="M10" s="29">
        <v>-574217</v>
      </c>
    </row>
    <row r="11" spans="1:13" x14ac:dyDescent="0.3">
      <c r="A11" s="1">
        <v>46078</v>
      </c>
      <c r="B11" t="s">
        <v>64</v>
      </c>
      <c r="C11" t="s">
        <v>71</v>
      </c>
      <c r="D11" s="3">
        <v>-83598.52</v>
      </c>
      <c r="E11" s="3">
        <v>-61597</v>
      </c>
      <c r="F11" s="23">
        <v>-61873</v>
      </c>
      <c r="J11" s="28" t="s">
        <v>64</v>
      </c>
      <c r="K11" s="29">
        <v>-214910.91666666666</v>
      </c>
      <c r="L11" s="29">
        <v>-272532.33333333331</v>
      </c>
      <c r="M11" s="29">
        <v>-185336.66666666666</v>
      </c>
    </row>
    <row r="12" spans="1:13" x14ac:dyDescent="0.3">
      <c r="A12" s="1">
        <v>46078</v>
      </c>
      <c r="B12" t="s">
        <v>65</v>
      </c>
      <c r="C12" t="s">
        <v>72</v>
      </c>
      <c r="D12" s="3">
        <v>-1507731.49</v>
      </c>
      <c r="E12" s="32">
        <v>-679564</v>
      </c>
      <c r="F12" s="24">
        <v>-642581</v>
      </c>
      <c r="J12" s="28" t="s">
        <v>65</v>
      </c>
      <c r="K12" s="29">
        <v>-1087846.6900000002</v>
      </c>
      <c r="L12" s="29">
        <v>-500355</v>
      </c>
      <c r="M12" s="29">
        <v>-492711</v>
      </c>
    </row>
    <row r="13" spans="1:13" x14ac:dyDescent="0.3">
      <c r="A13" s="1">
        <v>46078</v>
      </c>
      <c r="B13" t="s">
        <v>66</v>
      </c>
      <c r="C13" t="s">
        <v>73</v>
      </c>
      <c r="D13" s="3">
        <v>-1892107.34</v>
      </c>
      <c r="E13" s="32">
        <v>-297865</v>
      </c>
      <c r="F13" s="24">
        <v>-289208</v>
      </c>
      <c r="J13" s="28" t="s">
        <v>66</v>
      </c>
      <c r="K13" s="29">
        <v>-941345.17</v>
      </c>
      <c r="L13" s="29">
        <v>-503165.33333333331</v>
      </c>
      <c r="M13" s="29">
        <v>-265029.66666666669</v>
      </c>
    </row>
    <row r="14" spans="1:13" x14ac:dyDescent="0.3">
      <c r="A14" s="1">
        <v>46078</v>
      </c>
      <c r="B14" t="s">
        <v>153</v>
      </c>
      <c r="C14" t="s">
        <v>75</v>
      </c>
      <c r="D14" s="3">
        <v>0</v>
      </c>
      <c r="E14" s="32">
        <v>-745990</v>
      </c>
      <c r="F14" s="24">
        <v>-567286</v>
      </c>
      <c r="G14" s="3">
        <v>585497.35</v>
      </c>
      <c r="J14" s="28" t="s">
        <v>167</v>
      </c>
      <c r="K14" s="29">
        <v>-2969606.16</v>
      </c>
      <c r="L14" s="29">
        <v>-736159</v>
      </c>
      <c r="M14" s="29">
        <v>-445532</v>
      </c>
    </row>
    <row r="15" spans="1:13" x14ac:dyDescent="0.3">
      <c r="A15" s="1">
        <v>46078</v>
      </c>
      <c r="B15" t="s">
        <v>105</v>
      </c>
      <c r="C15" t="s">
        <v>76</v>
      </c>
      <c r="D15" s="3">
        <v>0</v>
      </c>
      <c r="E15" s="32">
        <v>-724758</v>
      </c>
      <c r="F15" s="24">
        <v>-547996</v>
      </c>
      <c r="G15" s="3">
        <v>1376178.01</v>
      </c>
      <c r="J15" s="28" t="s">
        <v>166</v>
      </c>
      <c r="K15" s="29">
        <v>-1309706.06</v>
      </c>
      <c r="L15" s="29">
        <v>-510819</v>
      </c>
      <c r="M15" s="29">
        <v>-368617</v>
      </c>
    </row>
    <row r="16" spans="1:13" x14ac:dyDescent="0.3">
      <c r="A16" s="1">
        <v>46078</v>
      </c>
      <c r="B16" t="s">
        <v>154</v>
      </c>
      <c r="C16" t="s">
        <v>77</v>
      </c>
      <c r="D16" s="3">
        <v>0</v>
      </c>
      <c r="E16" s="32">
        <v>-850252</v>
      </c>
      <c r="F16" s="24">
        <v>-578903</v>
      </c>
      <c r="G16" s="3">
        <v>648389.84</v>
      </c>
      <c r="J16" s="28" t="s">
        <v>141</v>
      </c>
      <c r="K16" s="29">
        <v>0</v>
      </c>
      <c r="L16" s="29">
        <v>-404180</v>
      </c>
      <c r="M16" s="29">
        <v>-339005</v>
      </c>
    </row>
    <row r="17" spans="1:13" x14ac:dyDescent="0.3">
      <c r="A17" s="1">
        <v>46078</v>
      </c>
      <c r="B17" t="s">
        <v>142</v>
      </c>
      <c r="C17" t="s">
        <v>78</v>
      </c>
      <c r="D17" s="3">
        <v>-4127722.32</v>
      </c>
      <c r="E17" s="14">
        <v>-1056073</v>
      </c>
      <c r="F17" s="23">
        <v>-975755</v>
      </c>
      <c r="J17" s="28" t="s">
        <v>105</v>
      </c>
      <c r="K17" s="29">
        <v>0</v>
      </c>
      <c r="L17" s="29">
        <v>-913740</v>
      </c>
      <c r="M17" s="29">
        <v>-578285.5</v>
      </c>
    </row>
    <row r="18" spans="1:13" x14ac:dyDescent="0.3">
      <c r="A18" s="1">
        <v>46078</v>
      </c>
      <c r="B18" t="s">
        <v>155</v>
      </c>
      <c r="C18" t="s">
        <v>79</v>
      </c>
      <c r="D18" s="3">
        <v>-564615.21</v>
      </c>
      <c r="E18" s="14">
        <v>-144692</v>
      </c>
      <c r="F18" s="23">
        <v>-100534</v>
      </c>
      <c r="J18" s="28" t="s">
        <v>153</v>
      </c>
      <c r="K18" s="29">
        <v>0</v>
      </c>
      <c r="L18" s="29">
        <v>-1208518</v>
      </c>
      <c r="M18" s="29">
        <v>-547996</v>
      </c>
    </row>
    <row r="19" spans="1:13" x14ac:dyDescent="0.3">
      <c r="A19" s="1">
        <v>46078</v>
      </c>
      <c r="B19" t="s">
        <v>156</v>
      </c>
      <c r="C19" t="s">
        <v>80</v>
      </c>
      <c r="D19" s="3">
        <v>-2390202.31</v>
      </c>
      <c r="E19" s="14">
        <v>-1465686</v>
      </c>
      <c r="F19" s="23">
        <v>-1483168</v>
      </c>
      <c r="J19" s="28" t="s">
        <v>106</v>
      </c>
      <c r="K19" s="29">
        <v>0</v>
      </c>
      <c r="L19" s="29">
        <v>-952524</v>
      </c>
      <c r="M19" s="29">
        <v>-673568</v>
      </c>
    </row>
    <row r="20" spans="1:13" x14ac:dyDescent="0.3">
      <c r="A20" s="1">
        <v>46078</v>
      </c>
      <c r="B20" t="s">
        <v>157</v>
      </c>
      <c r="C20" t="s">
        <v>90</v>
      </c>
      <c r="D20" s="3">
        <v>0</v>
      </c>
      <c r="E20" s="14">
        <v>-2915334</v>
      </c>
      <c r="F20" s="23">
        <v>-2845038</v>
      </c>
      <c r="G20" s="3">
        <v>12517816.550000001</v>
      </c>
      <c r="J20" s="28" t="s">
        <v>165</v>
      </c>
      <c r="K20" s="29">
        <v>-4731.8100000000004</v>
      </c>
      <c r="L20" s="29">
        <v>-197525</v>
      </c>
      <c r="M20" s="29">
        <v>-91516</v>
      </c>
    </row>
    <row r="21" spans="1:13" x14ac:dyDescent="0.3">
      <c r="A21" s="1">
        <v>46078</v>
      </c>
      <c r="B21" t="s">
        <v>158</v>
      </c>
      <c r="C21" t="s">
        <v>91</v>
      </c>
      <c r="D21" s="3">
        <v>0</v>
      </c>
      <c r="E21" s="14">
        <v>-2108989</v>
      </c>
      <c r="F21" s="23">
        <v>-1956710</v>
      </c>
      <c r="G21" s="3">
        <v>5868821.8899999997</v>
      </c>
      <c r="J21" s="28" t="s">
        <v>154</v>
      </c>
      <c r="K21" s="29">
        <v>0</v>
      </c>
      <c r="L21" s="29">
        <v>-1334331</v>
      </c>
      <c r="M21" s="29">
        <v>-578903</v>
      </c>
    </row>
    <row r="22" spans="1:13" s="6" customFormat="1" x14ac:dyDescent="0.3">
      <c r="A22" s="4">
        <v>46078</v>
      </c>
      <c r="B22" s="6" t="s">
        <v>159</v>
      </c>
      <c r="C22" s="6" t="s">
        <v>92</v>
      </c>
      <c r="D22" s="7">
        <v>0</v>
      </c>
      <c r="E22" s="15">
        <v>-2826684</v>
      </c>
      <c r="F22" s="10">
        <v>-2778616</v>
      </c>
      <c r="G22" s="7">
        <v>9466948.3800000008</v>
      </c>
      <c r="J22" s="28" t="s">
        <v>142</v>
      </c>
      <c r="K22" s="29">
        <v>-2365611.1949999998</v>
      </c>
      <c r="L22" s="29">
        <v>-550740.5</v>
      </c>
      <c r="M22" s="29">
        <v>-500076</v>
      </c>
    </row>
    <row r="23" spans="1:13" x14ac:dyDescent="0.3">
      <c r="A23" s="1">
        <v>46079</v>
      </c>
      <c r="B23" t="s">
        <v>55</v>
      </c>
      <c r="C23" t="s">
        <v>93</v>
      </c>
      <c r="D23" s="3">
        <v>-271747.33</v>
      </c>
      <c r="E23" s="3">
        <v>-106418</v>
      </c>
      <c r="F23" s="11">
        <v>-102277</v>
      </c>
      <c r="J23" s="28" t="s">
        <v>156</v>
      </c>
      <c r="K23" s="29">
        <v>-2390202.31</v>
      </c>
      <c r="L23" s="29">
        <v>-1465686</v>
      </c>
      <c r="M23" s="29">
        <v>-1483168</v>
      </c>
    </row>
    <row r="24" spans="1:13" x14ac:dyDescent="0.3">
      <c r="A24" s="1">
        <v>46079</v>
      </c>
      <c r="B24" t="s">
        <v>56</v>
      </c>
      <c r="C24" t="s">
        <v>94</v>
      </c>
      <c r="D24" s="3">
        <v>-892973.2</v>
      </c>
      <c r="E24" s="3">
        <v>-130704</v>
      </c>
      <c r="F24" s="23">
        <v>-132351</v>
      </c>
      <c r="J24" s="28" t="s">
        <v>169</v>
      </c>
      <c r="K24" s="29">
        <v>-10359711.869999999</v>
      </c>
      <c r="L24" s="29">
        <v>-2496936</v>
      </c>
      <c r="M24" s="29">
        <v>-2556888</v>
      </c>
    </row>
    <row r="25" spans="1:13" x14ac:dyDescent="0.3">
      <c r="A25" s="1">
        <v>46079</v>
      </c>
      <c r="B25" t="s">
        <v>57</v>
      </c>
      <c r="C25" t="s">
        <v>95</v>
      </c>
      <c r="D25" s="3">
        <v>-2745514.08</v>
      </c>
      <c r="E25" s="3">
        <v>-262760</v>
      </c>
      <c r="F25" s="23">
        <v>-239504</v>
      </c>
      <c r="J25" s="28" t="s">
        <v>155</v>
      </c>
      <c r="K25" s="29">
        <v>-564615.21</v>
      </c>
      <c r="L25" s="29">
        <v>-144692</v>
      </c>
      <c r="M25" s="29">
        <v>-100534</v>
      </c>
    </row>
    <row r="26" spans="1:13" x14ac:dyDescent="0.3">
      <c r="A26" s="1">
        <v>46079</v>
      </c>
      <c r="B26" t="s">
        <v>58</v>
      </c>
      <c r="C26" t="s">
        <v>96</v>
      </c>
      <c r="D26" s="3">
        <v>0</v>
      </c>
      <c r="E26" s="3">
        <v>-36767</v>
      </c>
      <c r="F26" s="23">
        <v>-35308</v>
      </c>
      <c r="G26" s="3">
        <v>10111.36</v>
      </c>
      <c r="J26" s="28" t="s">
        <v>168</v>
      </c>
      <c r="K26" s="29">
        <v>-2685161.32</v>
      </c>
      <c r="L26" s="29">
        <v>-2431652</v>
      </c>
      <c r="M26" s="29">
        <v>-2272839</v>
      </c>
    </row>
    <row r="27" spans="1:13" x14ac:dyDescent="0.3">
      <c r="A27" s="1">
        <v>46079</v>
      </c>
      <c r="B27" t="s">
        <v>59</v>
      </c>
      <c r="C27" t="s">
        <v>97</v>
      </c>
      <c r="D27" s="3">
        <v>0</v>
      </c>
      <c r="E27" s="3">
        <v>-432005</v>
      </c>
      <c r="F27" s="23">
        <v>-445491</v>
      </c>
      <c r="G27" s="3">
        <v>384214.5</v>
      </c>
      <c r="J27" s="28" t="s">
        <v>160</v>
      </c>
      <c r="K27" s="29">
        <v>0</v>
      </c>
      <c r="L27" s="29">
        <v>-904405</v>
      </c>
      <c r="M27" s="29">
        <v>-857419</v>
      </c>
    </row>
    <row r="28" spans="1:13" x14ac:dyDescent="0.3">
      <c r="A28" s="1">
        <v>46079</v>
      </c>
      <c r="B28" t="s">
        <v>60</v>
      </c>
      <c r="C28" t="s">
        <v>98</v>
      </c>
      <c r="D28" s="3">
        <v>0</v>
      </c>
      <c r="E28" s="3">
        <v>-131345</v>
      </c>
      <c r="F28" s="23">
        <v>-113961</v>
      </c>
      <c r="G28" s="3">
        <v>149477.66</v>
      </c>
      <c r="J28" s="28" t="s">
        <v>112</v>
      </c>
      <c r="K28" s="29">
        <v>0</v>
      </c>
      <c r="L28" s="29">
        <v>-508901</v>
      </c>
      <c r="M28" s="29">
        <v>-365511</v>
      </c>
    </row>
    <row r="29" spans="1:13" x14ac:dyDescent="0.3">
      <c r="A29" s="1">
        <v>46079</v>
      </c>
      <c r="B29" t="s">
        <v>61</v>
      </c>
      <c r="C29" t="s">
        <v>99</v>
      </c>
      <c r="D29" s="3">
        <v>-289378.34999999998</v>
      </c>
      <c r="E29" s="3">
        <v>-173607</v>
      </c>
      <c r="F29" s="23">
        <v>-178645</v>
      </c>
      <c r="J29" s="28" t="s">
        <v>161</v>
      </c>
      <c r="K29" s="29">
        <v>-303876.17</v>
      </c>
      <c r="L29" s="29">
        <v>-978193</v>
      </c>
      <c r="M29" s="29">
        <v>-946593</v>
      </c>
    </row>
    <row r="30" spans="1:13" x14ac:dyDescent="0.3">
      <c r="A30" s="1">
        <v>46079</v>
      </c>
      <c r="B30" t="s">
        <v>62</v>
      </c>
      <c r="C30" t="s">
        <v>100</v>
      </c>
      <c r="D30" s="3">
        <v>-901065.73</v>
      </c>
      <c r="E30" s="3">
        <v>-781979</v>
      </c>
      <c r="F30" s="23">
        <v>-772941</v>
      </c>
      <c r="J30" s="28" t="s">
        <v>164</v>
      </c>
      <c r="K30" s="29">
        <v>0</v>
      </c>
      <c r="L30" s="29">
        <v>-3037067</v>
      </c>
      <c r="M30" s="29">
        <v>-2859318</v>
      </c>
    </row>
    <row r="31" spans="1:13" x14ac:dyDescent="0.3">
      <c r="A31" s="1">
        <v>46079</v>
      </c>
      <c r="B31" t="s">
        <v>63</v>
      </c>
      <c r="C31" t="s">
        <v>101</v>
      </c>
      <c r="D31" s="3">
        <v>-1875858.59</v>
      </c>
      <c r="E31" s="3">
        <v>-658100</v>
      </c>
      <c r="F31" s="23">
        <v>-637515</v>
      </c>
      <c r="J31" s="28" t="s">
        <v>162</v>
      </c>
      <c r="K31" s="29">
        <v>0</v>
      </c>
      <c r="L31" s="29">
        <v>-2846200</v>
      </c>
      <c r="M31" s="29">
        <v>-2776091</v>
      </c>
    </row>
    <row r="32" spans="1:13" x14ac:dyDescent="0.3">
      <c r="A32" s="1">
        <v>46079</v>
      </c>
      <c r="B32" t="s">
        <v>64</v>
      </c>
      <c r="C32" t="s">
        <v>102</v>
      </c>
      <c r="D32" s="3">
        <v>0</v>
      </c>
      <c r="E32" s="3">
        <v>-175301</v>
      </c>
      <c r="F32" s="23">
        <v>-179546</v>
      </c>
      <c r="G32" s="3">
        <v>10930.98</v>
      </c>
      <c r="J32" s="28" t="s">
        <v>163</v>
      </c>
      <c r="K32" s="29">
        <v>0</v>
      </c>
      <c r="L32" s="29">
        <v>-2405629</v>
      </c>
      <c r="M32" s="29">
        <v>-2405154.5</v>
      </c>
    </row>
    <row r="33" spans="1:13" x14ac:dyDescent="0.3">
      <c r="A33" s="1">
        <v>46079</v>
      </c>
      <c r="B33" t="s">
        <v>65</v>
      </c>
      <c r="C33" t="s">
        <v>103</v>
      </c>
      <c r="D33" s="3">
        <v>0</v>
      </c>
      <c r="E33" s="3">
        <v>-268971</v>
      </c>
      <c r="F33" s="23">
        <v>-266935</v>
      </c>
      <c r="G33" s="3">
        <v>309543.2</v>
      </c>
      <c r="J33" s="28" t="s">
        <v>159</v>
      </c>
      <c r="K33" s="29">
        <v>0</v>
      </c>
      <c r="L33" s="29">
        <v>-2826684</v>
      </c>
      <c r="M33" s="29">
        <v>-2778616</v>
      </c>
    </row>
    <row r="34" spans="1:13" x14ac:dyDescent="0.3">
      <c r="A34" s="1">
        <v>46079</v>
      </c>
      <c r="B34" t="s">
        <v>66</v>
      </c>
      <c r="C34" t="s">
        <v>104</v>
      </c>
      <c r="D34" s="3">
        <v>0</v>
      </c>
      <c r="E34" s="3">
        <v>-330654</v>
      </c>
      <c r="F34" s="23">
        <v>-328238</v>
      </c>
      <c r="G34" s="3">
        <v>473499.75</v>
      </c>
      <c r="J34" s="28" t="s">
        <v>158</v>
      </c>
      <c r="K34" s="29">
        <v>0</v>
      </c>
      <c r="L34" s="29">
        <v>-2108989</v>
      </c>
      <c r="M34" s="29">
        <v>-1956710</v>
      </c>
    </row>
    <row r="35" spans="1:13" x14ac:dyDescent="0.3">
      <c r="A35" s="1">
        <v>46079</v>
      </c>
      <c r="B35" t="s">
        <v>105</v>
      </c>
      <c r="C35" t="s">
        <v>108</v>
      </c>
      <c r="D35" s="3">
        <v>0</v>
      </c>
      <c r="E35" s="3">
        <v>-756593</v>
      </c>
      <c r="F35" s="23">
        <v>-589285</v>
      </c>
      <c r="G35" s="3">
        <v>1454019.1</v>
      </c>
      <c r="J35" s="28" t="s">
        <v>157</v>
      </c>
      <c r="K35" s="29">
        <v>0</v>
      </c>
      <c r="L35" s="29">
        <v>-2915334</v>
      </c>
      <c r="M35" s="29">
        <v>-2845038</v>
      </c>
    </row>
    <row r="36" spans="1:13" x14ac:dyDescent="0.3">
      <c r="A36" s="1">
        <v>46079</v>
      </c>
      <c r="B36" t="s">
        <v>106</v>
      </c>
      <c r="C36" t="s">
        <v>109</v>
      </c>
      <c r="D36" s="3">
        <v>0</v>
      </c>
      <c r="E36" s="3">
        <v>-952524</v>
      </c>
      <c r="F36" s="23">
        <v>-673568</v>
      </c>
      <c r="G36" s="3">
        <v>2163834.9700000002</v>
      </c>
      <c r="J36" s="28" t="s">
        <v>170</v>
      </c>
      <c r="K36" s="29">
        <v>0</v>
      </c>
      <c r="L36" s="29">
        <v>-4336773</v>
      </c>
      <c r="M36" s="29">
        <v>-4167890</v>
      </c>
    </row>
    <row r="37" spans="1:13" x14ac:dyDescent="0.3">
      <c r="A37" s="1">
        <v>46079</v>
      </c>
      <c r="B37" t="s">
        <v>141</v>
      </c>
      <c r="C37" t="s">
        <v>110</v>
      </c>
      <c r="D37" s="3">
        <v>0</v>
      </c>
      <c r="E37" s="3">
        <v>-404180</v>
      </c>
      <c r="F37" s="23">
        <v>-339005</v>
      </c>
      <c r="G37" s="3">
        <v>165531.60999999999</v>
      </c>
    </row>
    <row r="38" spans="1:13" x14ac:dyDescent="0.3">
      <c r="A38" s="1">
        <v>46079</v>
      </c>
      <c r="B38" t="s">
        <v>160</v>
      </c>
      <c r="C38" t="s">
        <v>113</v>
      </c>
      <c r="D38" s="3">
        <v>0</v>
      </c>
      <c r="E38" s="3">
        <v>-904405</v>
      </c>
      <c r="F38" s="23">
        <v>-857419</v>
      </c>
      <c r="G38" s="3">
        <v>653156.41</v>
      </c>
    </row>
    <row r="39" spans="1:13" x14ac:dyDescent="0.3">
      <c r="A39" s="1">
        <v>46079</v>
      </c>
      <c r="B39" t="s">
        <v>112</v>
      </c>
      <c r="C39" t="s">
        <v>114</v>
      </c>
      <c r="D39" s="3">
        <v>0</v>
      </c>
      <c r="E39" s="3">
        <v>-508901</v>
      </c>
      <c r="F39" s="23">
        <v>-365511</v>
      </c>
      <c r="G39" s="3">
        <v>278537.14</v>
      </c>
    </row>
    <row r="40" spans="1:13" x14ac:dyDescent="0.3">
      <c r="A40" s="1">
        <v>46079</v>
      </c>
      <c r="B40" t="s">
        <v>161</v>
      </c>
      <c r="C40" t="s">
        <v>115</v>
      </c>
      <c r="D40" s="3">
        <v>-303876.17</v>
      </c>
      <c r="E40" s="3">
        <v>-978193</v>
      </c>
      <c r="F40" s="23">
        <v>-946593</v>
      </c>
    </row>
    <row r="41" spans="1:13" x14ac:dyDescent="0.3">
      <c r="A41" s="1">
        <v>46079</v>
      </c>
      <c r="B41" t="s">
        <v>162</v>
      </c>
      <c r="C41" t="s">
        <v>120</v>
      </c>
      <c r="D41" s="3">
        <v>0</v>
      </c>
      <c r="E41" s="3">
        <v>-2846200</v>
      </c>
      <c r="F41" s="23">
        <v>-2776091</v>
      </c>
      <c r="G41" s="3">
        <v>8746813.1699999999</v>
      </c>
    </row>
    <row r="42" spans="1:13" x14ac:dyDescent="0.3">
      <c r="A42" s="1">
        <v>46079</v>
      </c>
      <c r="B42" t="s">
        <v>163</v>
      </c>
      <c r="C42" t="s">
        <v>121</v>
      </c>
      <c r="D42" s="3">
        <v>0</v>
      </c>
      <c r="E42" s="3">
        <v>-1749160</v>
      </c>
      <c r="F42" s="23">
        <v>-1782763</v>
      </c>
      <c r="G42" s="3">
        <v>8146446.1900000004</v>
      </c>
    </row>
    <row r="43" spans="1:13" s="6" customFormat="1" x14ac:dyDescent="0.3">
      <c r="A43" s="4">
        <v>46079</v>
      </c>
      <c r="B43" s="6" t="s">
        <v>164</v>
      </c>
      <c r="C43" s="6" t="s">
        <v>122</v>
      </c>
      <c r="D43" s="7">
        <v>0</v>
      </c>
      <c r="E43" s="7">
        <v>-3037067</v>
      </c>
      <c r="F43" s="10">
        <v>-2859318</v>
      </c>
      <c r="G43" s="7">
        <v>6796258.79</v>
      </c>
      <c r="J43" s="30"/>
      <c r="K43" s="30"/>
      <c r="L43" s="30"/>
      <c r="M43" s="30"/>
    </row>
    <row r="44" spans="1:13" x14ac:dyDescent="0.3">
      <c r="A44" s="1">
        <v>46080</v>
      </c>
      <c r="B44" t="s">
        <v>55</v>
      </c>
      <c r="C44" t="s">
        <v>123</v>
      </c>
      <c r="D44" s="3">
        <v>-560498.11</v>
      </c>
      <c r="E44" s="3">
        <v>-174321</v>
      </c>
      <c r="F44" s="23">
        <v>-175300</v>
      </c>
    </row>
    <row r="45" spans="1:13" x14ac:dyDescent="0.3">
      <c r="A45" s="1">
        <v>46080</v>
      </c>
      <c r="B45" t="s">
        <v>56</v>
      </c>
      <c r="C45" t="s">
        <v>124</v>
      </c>
      <c r="D45" s="3">
        <v>-892042.79</v>
      </c>
      <c r="E45" s="3">
        <v>-131482</v>
      </c>
      <c r="F45" s="23">
        <v>-137967</v>
      </c>
    </row>
    <row r="46" spans="1:13" x14ac:dyDescent="0.3">
      <c r="A46" s="1">
        <v>46080</v>
      </c>
      <c r="B46" t="s">
        <v>57</v>
      </c>
      <c r="C46" t="s">
        <v>125</v>
      </c>
      <c r="D46" s="3">
        <v>-2786255.13</v>
      </c>
      <c r="E46" s="32">
        <v>-230117</v>
      </c>
      <c r="F46" s="23">
        <v>-205267</v>
      </c>
    </row>
    <row r="47" spans="1:13" x14ac:dyDescent="0.3">
      <c r="A47" s="1">
        <v>46080</v>
      </c>
      <c r="B47" t="s">
        <v>58</v>
      </c>
      <c r="C47" t="s">
        <v>126</v>
      </c>
      <c r="D47" s="3">
        <v>0</v>
      </c>
      <c r="E47" s="32">
        <v>-57973</v>
      </c>
      <c r="F47" s="23">
        <v>-58308</v>
      </c>
      <c r="G47" s="3">
        <v>12042.65</v>
      </c>
    </row>
    <row r="48" spans="1:13" x14ac:dyDescent="0.3">
      <c r="A48" s="1">
        <v>46080</v>
      </c>
      <c r="B48" t="s">
        <v>59</v>
      </c>
      <c r="C48" t="s">
        <v>127</v>
      </c>
      <c r="D48" s="3">
        <v>0</v>
      </c>
      <c r="E48" s="32">
        <v>-273604</v>
      </c>
      <c r="F48" s="23">
        <v>-290320</v>
      </c>
      <c r="G48" s="3">
        <v>232158.75</v>
      </c>
    </row>
    <row r="49" spans="1:7" x14ac:dyDescent="0.3">
      <c r="A49" s="1">
        <v>46080</v>
      </c>
      <c r="B49" t="s">
        <v>60</v>
      </c>
      <c r="C49" t="s">
        <v>130</v>
      </c>
      <c r="D49" s="3">
        <v>0</v>
      </c>
      <c r="E49" s="32">
        <v>-317097</v>
      </c>
      <c r="F49" s="23">
        <v>-303765</v>
      </c>
      <c r="G49" s="3">
        <v>429094.52</v>
      </c>
    </row>
    <row r="50" spans="1:7" x14ac:dyDescent="0.3">
      <c r="A50" s="1">
        <v>46080</v>
      </c>
      <c r="B50" t="s">
        <v>61</v>
      </c>
      <c r="C50" t="s">
        <v>131</v>
      </c>
      <c r="D50" s="3">
        <v>0</v>
      </c>
      <c r="E50" s="32">
        <v>-52593</v>
      </c>
      <c r="F50" s="23">
        <v>-53172</v>
      </c>
      <c r="G50" s="3">
        <v>7284.72</v>
      </c>
    </row>
    <row r="51" spans="1:7" x14ac:dyDescent="0.3">
      <c r="A51" s="1">
        <v>46080</v>
      </c>
      <c r="B51" t="s">
        <v>62</v>
      </c>
      <c r="C51" t="s">
        <v>132</v>
      </c>
      <c r="D51" s="3">
        <v>0</v>
      </c>
      <c r="E51" s="32">
        <v>-464230</v>
      </c>
      <c r="F51" s="23">
        <v>-463260</v>
      </c>
      <c r="G51" s="3">
        <v>136303.79</v>
      </c>
    </row>
    <row r="52" spans="1:7" x14ac:dyDescent="0.3">
      <c r="A52" s="1">
        <v>46080</v>
      </c>
      <c r="B52" t="s">
        <v>63</v>
      </c>
      <c r="C52" t="s">
        <v>133</v>
      </c>
      <c r="D52" s="3">
        <v>0</v>
      </c>
      <c r="E52" s="32">
        <v>-657126</v>
      </c>
      <c r="F52" s="23">
        <v>-635775</v>
      </c>
      <c r="G52" s="3">
        <v>459762.42</v>
      </c>
    </row>
    <row r="53" spans="1:7" x14ac:dyDescent="0.3">
      <c r="A53" s="1">
        <v>46080</v>
      </c>
      <c r="B53" t="s">
        <v>64</v>
      </c>
      <c r="C53" t="s">
        <v>134</v>
      </c>
      <c r="D53" s="3">
        <v>-561134.23</v>
      </c>
      <c r="E53" s="32">
        <v>-311762</v>
      </c>
      <c r="F53" s="24">
        <v>-314591</v>
      </c>
    </row>
    <row r="54" spans="1:7" x14ac:dyDescent="0.3">
      <c r="A54" s="1">
        <v>46080</v>
      </c>
      <c r="B54" t="s">
        <v>65</v>
      </c>
      <c r="C54" t="s">
        <v>135</v>
      </c>
      <c r="D54" s="3">
        <v>-1755808.58</v>
      </c>
      <c r="E54" s="32">
        <v>-578017</v>
      </c>
      <c r="F54" s="24">
        <v>-568617</v>
      </c>
    </row>
    <row r="55" spans="1:7" x14ac:dyDescent="0.3">
      <c r="A55" s="1">
        <v>46080</v>
      </c>
      <c r="B55" t="s">
        <v>66</v>
      </c>
      <c r="C55" t="s">
        <v>136</v>
      </c>
      <c r="D55" s="3">
        <v>-931928.17</v>
      </c>
      <c r="E55" s="32">
        <v>-177645</v>
      </c>
      <c r="F55" s="24">
        <v>-177643</v>
      </c>
    </row>
    <row r="56" spans="1:7" x14ac:dyDescent="0.3">
      <c r="A56" s="1">
        <v>46080</v>
      </c>
      <c r="B56" t="s">
        <v>165</v>
      </c>
      <c r="C56" t="s">
        <v>137</v>
      </c>
      <c r="D56" s="3">
        <v>-4731.8100000000004</v>
      </c>
      <c r="E56" s="32">
        <v>-197525</v>
      </c>
      <c r="F56" s="24">
        <v>-191516</v>
      </c>
    </row>
    <row r="57" spans="1:7" x14ac:dyDescent="0.3">
      <c r="A57" s="1">
        <v>46080</v>
      </c>
      <c r="B57" t="s">
        <v>166</v>
      </c>
      <c r="C57" t="s">
        <v>138</v>
      </c>
      <c r="D57" s="3">
        <v>-1309706.06</v>
      </c>
      <c r="E57" s="32">
        <v>-510819</v>
      </c>
      <c r="F57" s="24">
        <v>-368617</v>
      </c>
    </row>
    <row r="58" spans="1:7" x14ac:dyDescent="0.3">
      <c r="A58" s="1">
        <v>46080</v>
      </c>
      <c r="B58" t="s">
        <v>167</v>
      </c>
      <c r="C58" t="s">
        <v>139</v>
      </c>
      <c r="D58" s="3">
        <v>-2969606.16</v>
      </c>
      <c r="E58" s="32">
        <v>-736159</v>
      </c>
      <c r="F58" s="24">
        <v>-459380</v>
      </c>
    </row>
    <row r="59" spans="1:7" x14ac:dyDescent="0.3">
      <c r="A59" s="1">
        <v>46080</v>
      </c>
      <c r="B59" t="s">
        <v>142</v>
      </c>
      <c r="C59" t="s">
        <v>143</v>
      </c>
      <c r="D59" s="3">
        <v>-603500.06999999995</v>
      </c>
      <c r="E59" s="32">
        <v>-45408</v>
      </c>
      <c r="F59" s="24">
        <v>-24397</v>
      </c>
    </row>
    <row r="60" spans="1:7" x14ac:dyDescent="0.3">
      <c r="A60" s="1">
        <v>46080</v>
      </c>
      <c r="B60" t="s">
        <v>168</v>
      </c>
      <c r="C60" t="s">
        <v>144</v>
      </c>
      <c r="D60" s="3">
        <v>-2685161.32</v>
      </c>
      <c r="E60" s="3">
        <v>-2431652</v>
      </c>
      <c r="F60" s="23">
        <v>-2272839</v>
      </c>
    </row>
    <row r="61" spans="1:7" x14ac:dyDescent="0.3">
      <c r="A61" s="1">
        <v>46080</v>
      </c>
      <c r="B61" t="s">
        <v>169</v>
      </c>
      <c r="C61" t="s">
        <v>145</v>
      </c>
      <c r="D61" s="3">
        <v>-10359711.869999999</v>
      </c>
      <c r="E61" s="3">
        <v>-2496936</v>
      </c>
      <c r="F61" s="23">
        <v>-2556888</v>
      </c>
    </row>
    <row r="62" spans="1:7" x14ac:dyDescent="0.3">
      <c r="A62" s="1">
        <v>46080</v>
      </c>
      <c r="B62" t="s">
        <v>163</v>
      </c>
      <c r="C62" t="s">
        <v>146</v>
      </c>
      <c r="D62" s="3">
        <v>0</v>
      </c>
      <c r="E62" s="3">
        <v>-3062098</v>
      </c>
      <c r="F62" s="23">
        <v>-3027546</v>
      </c>
      <c r="G62" s="3">
        <v>15284543.9</v>
      </c>
    </row>
    <row r="63" spans="1:7" x14ac:dyDescent="0.3">
      <c r="A63" s="1">
        <v>46080</v>
      </c>
      <c r="B63" t="s">
        <v>170</v>
      </c>
      <c r="C63" t="s">
        <v>147</v>
      </c>
      <c r="D63" s="3">
        <v>0</v>
      </c>
      <c r="E63" s="3">
        <v>-4336773</v>
      </c>
      <c r="F63" s="23">
        <v>-4167890</v>
      </c>
      <c r="G63" s="3">
        <v>21769021.18</v>
      </c>
    </row>
  </sheetData>
  <autoFilter ref="A1:H63" xr:uid="{23404742-EE1C-491C-BEA8-976F45E9A79C}"/>
  <phoneticPr fontId="2" type="noConversion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AA34815B4BC14EA6F93A68A881C653" ma:contentTypeVersion="13" ma:contentTypeDescription="Create a new document." ma:contentTypeScope="" ma:versionID="bdfb0bcb7d233f36f15e7db08c1e12e5">
  <xsd:schema xmlns:xsd="http://www.w3.org/2001/XMLSchema" xmlns:xs="http://www.w3.org/2001/XMLSchema" xmlns:p="http://schemas.microsoft.com/office/2006/metadata/properties" xmlns:ns2="2bdc3bdf-56c9-47d2-b062-5da9222636ca" xmlns:ns3="ae9094a5-110f-48a3-a2fb-a3c7fc8cb9ea" targetNamespace="http://schemas.microsoft.com/office/2006/metadata/properties" ma:root="true" ma:fieldsID="62bba00a0b38b01ddbf073c393f15fbf" ns2:_="" ns3:_="">
    <xsd:import namespace="2bdc3bdf-56c9-47d2-b062-5da9222636ca"/>
    <xsd:import namespace="ae9094a5-110f-48a3-a2fb-a3c7fc8cb9e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c3bdf-56c9-47d2-b062-5da9222636c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4019a61-431e-4d22-8b62-ceec1a66c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094a5-110f-48a3-a2fb-a3c7fc8cb9e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f37dc2-72ad-4683-be14-b8f22737f794}" ma:internalName="TaxCatchAll" ma:showField="CatchAllData" ma:web="ae9094a5-110f-48a3-a2fb-a3c7fc8cb9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9094a5-110f-48a3-a2fb-a3c7fc8cb9ea" xsi:nil="true"/>
    <lcf76f155ced4ddcb4097134ff3c332f xmlns="2bdc3bdf-56c9-47d2-b062-5da9222636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B0B1F2-85CB-4DDE-ACBB-FFA0E65F97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6DA245-C917-40C4-B7A2-9A1CA6BFB7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dc3bdf-56c9-47d2-b062-5da9222636ca"/>
    <ds:schemaRef ds:uri="ae9094a5-110f-48a3-a2fb-a3c7fc8cb9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D5609F-D43C-41E9-AEBE-22C4634691D1}">
  <ds:schemaRefs>
    <ds:schemaRef ds:uri="http://schemas.microsoft.com/office/2006/metadata/properties"/>
    <ds:schemaRef ds:uri="http://schemas.microsoft.com/office/infopath/2007/PartnerControls"/>
    <ds:schemaRef ds:uri="ae9094a5-110f-48a3-a2fb-a3c7fc8cb9ea"/>
    <ds:schemaRef ds:uri="2bdc3bdf-56c9-47d2-b062-5da9222636ca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Privileged" siteId="{86f3959b-6979-4911-9941-469acb1e23c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 linear</vt:lpstr>
      <vt:lpstr>ES mixed</vt:lpstr>
      <vt:lpstr>ES nonlinear</vt:lpstr>
      <vt:lpstr>NQ linear</vt:lpstr>
      <vt:lpstr>NQ mixed</vt:lpstr>
      <vt:lpstr>NQ nonlinear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Lan, Xi</dc:creator>
  <cp:lastModifiedBy>Frassi, Stefano</cp:lastModifiedBy>
  <dcterms:created xsi:type="dcterms:W3CDTF">2026-03-03T08:43:34Z</dcterms:created>
  <dcterms:modified xsi:type="dcterms:W3CDTF">2026-04-13T11:21:24Z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0x010100DAAA34815B4BC14EA6F93A68A881C653</vt:lpwstr>
  </property>
  <property fmtid="{D5CDD505-2E9C-101B-9397-08002B2CF9AE}" pid="3" name="MediaServiceImageTags">
    <vt:lpwstr/>
  </property>
</Properties>
</file>